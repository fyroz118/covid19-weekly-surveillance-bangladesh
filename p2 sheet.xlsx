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Weekly_Surveillance" sheetId="2" r:id="rId2"/>
    <sheet name="Sheet3" sheetId="3" r:id="rId3"/>
  </sheets>
  <definedNames/>
  <calcPr calcId="114210"/>
</workbook>
</file>

<file path=xl/sharedStrings.xml><?xml version="1.0" encoding="utf-8"?>
<sst xmlns="http://schemas.openxmlformats.org/spreadsheetml/2006/main" uniqueCount="1155" count="1155">
  <si>
    <r>
      <rPr>
        <sz val="11"/>
        <rFont val="Arial"/>
      </rPr>
      <t>Date</t>
    </r>
  </si>
  <si>
    <r>
      <rPr>
        <sz val="11"/>
        <rFont val="Arial"/>
      </rPr>
      <t>Cumulative_cases</t>
    </r>
  </si>
  <si>
    <r>
      <rPr>
        <sz val="11"/>
        <rFont val="Arial"/>
      </rPr>
      <t>Cumulative_deaths</t>
    </r>
  </si>
  <si>
    <t>Daily_Cases</t>
  </si>
  <si>
    <t>Daily_Deaths</t>
  </si>
  <si>
    <t>Week</t>
  </si>
  <si>
    <t>Week_Index</t>
  </si>
  <si>
    <r>
      <rPr>
        <sz val="11"/>
        <rFont val="Arial"/>
      </rPr>
      <t>Week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</si>
  <si>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</si>
  <si>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</si>
  <si>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</si>
  <si>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</si>
  <si>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</si>
  <si>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</si>
  <si>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Week_1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</si>
  <si>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</si>
  <si>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</si>
  <si>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</si>
  <si>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</si>
  <si>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</si>
  <si>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</si>
  <si>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Week_2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</si>
  <si>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</si>
  <si>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</si>
  <si>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</si>
  <si>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</si>
  <si>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</si>
  <si>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</si>
  <si>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Week_3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</si>
  <si>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</si>
  <si>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</si>
  <si>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</si>
  <si>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</si>
  <si>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</si>
  <si>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</si>
  <si>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Week_4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</si>
  <si>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</si>
  <si>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</si>
  <si>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</si>
  <si>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</si>
  <si>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</si>
  <si>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</si>
  <si>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Week_5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</si>
  <si>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</si>
  <si>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</si>
  <si>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</si>
  <si>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</si>
  <si>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</si>
  <si>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</si>
  <si>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Week_6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</si>
  <si>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</si>
  <si>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</si>
  <si>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</si>
  <si>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</si>
  <si>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</si>
  <si>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</si>
  <si>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Week_7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</si>
  <si>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</si>
  <si>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</si>
  <si>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</si>
  <si>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</si>
  <si>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</si>
  <si>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</si>
  <si>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Week_8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</si>
  <si>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</si>
  <si>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</si>
  <si>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</si>
  <si>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</si>
  <si>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</si>
  <si>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</si>
  <si>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Week_9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</si>
  <si>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</si>
  <si>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</si>
  <si>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</si>
  <si>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</si>
  <si>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</si>
  <si>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</si>
  <si>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Week_10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</si>
  <si>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</si>
  <si>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</si>
  <si>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</si>
  <si>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</si>
  <si>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</si>
  <si>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</si>
  <si>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Week_11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</si>
  <si>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</si>
  <si>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</si>
  <si>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</si>
  <si>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</si>
  <si>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</si>
  <si>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</si>
  <si>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Week_12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</si>
  <si>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</si>
  <si>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</si>
  <si>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</si>
  <si>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</si>
  <si>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</si>
  <si>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</si>
  <si>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Week_13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</si>
  <si>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</si>
  <si>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</si>
  <si>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</si>
  <si>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</si>
  <si>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</si>
  <si>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</si>
  <si>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Week_14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</si>
  <si>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</si>
  <si>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</si>
  <si>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</si>
  <si>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</si>
  <si>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</si>
  <si>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</si>
  <si>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Week_15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</si>
  <si>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</si>
  <si>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</si>
  <si>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</si>
  <si>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</si>
  <si>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</si>
  <si>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</si>
  <si>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Week_16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</si>
  <si>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</si>
  <si>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</si>
  <si>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</si>
  <si>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</si>
  <si>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</si>
  <si>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</si>
  <si>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Week_17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</si>
  <si>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</si>
  <si>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</si>
  <si>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</si>
  <si>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</si>
  <si>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</si>
  <si>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</si>
  <si>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Week_18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</si>
  <si>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</si>
  <si>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</si>
  <si>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</si>
  <si>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</si>
  <si>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</si>
  <si>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</si>
  <si>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Week_19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</si>
  <si>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</si>
  <si>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</si>
  <si>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</si>
  <si>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</si>
  <si>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</si>
  <si>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</si>
  <si>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Week_20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</si>
  <si>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</si>
  <si>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</si>
  <si>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</si>
  <si>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</si>
  <si>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</si>
  <si>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</si>
  <si>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Week_21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</si>
  <si>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</si>
  <si>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</si>
  <si>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</si>
  <si>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</si>
  <si>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</si>
  <si>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</si>
  <si>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Week_22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</si>
  <si>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</si>
  <si>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</si>
  <si>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</si>
  <si>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</si>
  <si>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</si>
  <si>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</si>
  <si>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Week_23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</si>
  <si>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</si>
  <si>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</si>
  <si>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</si>
  <si>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</si>
  <si>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</si>
  <si>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</si>
  <si>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Week_24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</si>
  <si>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</si>
  <si>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</si>
  <si>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</si>
  <si>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</si>
  <si>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</si>
  <si>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</si>
  <si>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Week_25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</si>
  <si>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</si>
  <si>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</si>
  <si>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</si>
  <si>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</si>
  <si>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</si>
  <si>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</si>
  <si>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Week_26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</si>
  <si>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</si>
  <si>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</si>
  <si>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</si>
  <si>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</si>
  <si>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</si>
  <si>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</si>
  <si>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Week_27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</si>
  <si>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</si>
  <si>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</si>
  <si>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</si>
  <si>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</si>
  <si>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</si>
  <si>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</si>
  <si>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Week_28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</si>
  <si>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</si>
  <si>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</si>
  <si>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</si>
  <si>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</si>
  <si>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</si>
  <si>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</si>
  <si>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Week_29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</si>
  <si>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</si>
  <si>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</si>
  <si>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</si>
  <si>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</si>
  <si>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</si>
  <si>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</si>
  <si>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Week_30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</si>
  <si>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</si>
  <si>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</si>
  <si>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</si>
  <si>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</si>
  <si>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</si>
  <si>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</si>
  <si>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Week_31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</si>
  <si>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</si>
  <si>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</si>
  <si>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</si>
  <si>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</si>
  <si>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</si>
  <si>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</si>
  <si>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Week_32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</si>
  <si>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</si>
  <si>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</si>
  <si>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</si>
  <si>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</si>
  <si>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</si>
  <si>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</si>
  <si>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Week_33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</si>
  <si>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</si>
  <si>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</si>
  <si>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</si>
  <si>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</si>
  <si>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</si>
  <si>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</si>
  <si>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Week_34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</si>
  <si>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</si>
  <si>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</si>
  <si>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</si>
  <si>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</si>
  <si>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</si>
  <si>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</si>
  <si>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Week_35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</si>
  <si>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</si>
  <si>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</si>
  <si>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</si>
  <si>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</si>
  <si>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</si>
  <si>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</si>
  <si>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Week_36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</si>
  <si>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</si>
  <si>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</si>
  <si>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</si>
  <si>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</si>
  <si>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</si>
  <si>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</si>
  <si>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Week_37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</si>
  <si>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</si>
  <si>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</si>
  <si>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</si>
  <si>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</si>
  <si>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</si>
  <si>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</si>
  <si>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Week_38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</si>
  <si>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</si>
  <si>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</si>
  <si>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</si>
  <si>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</si>
  <si>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</si>
  <si>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</si>
  <si>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Week_39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</si>
  <si>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</si>
  <si>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</si>
  <si>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</si>
  <si>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</si>
  <si>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</si>
  <si>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</si>
  <si>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Week_40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</si>
  <si>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</si>
  <si>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</si>
  <si>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</si>
  <si>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</si>
  <si>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</si>
  <si>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</si>
  <si>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Week_41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</si>
  <si>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</si>
  <si>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</si>
  <si>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</si>
  <si>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</si>
  <si>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</si>
  <si>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</si>
  <si>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Week_42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</si>
  <si>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</si>
  <si>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</si>
  <si>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</si>
  <si>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</si>
  <si>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</si>
  <si>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</si>
  <si>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Week_43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</si>
  <si>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</si>
  <si>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</si>
  <si>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</si>
  <si>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</si>
  <si>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</si>
  <si>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</si>
  <si>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Week_44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</si>
  <si>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</si>
  <si>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</si>
  <si>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</si>
  <si>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</si>
  <si>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</si>
  <si>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</si>
  <si>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Week_45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</si>
  <si>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</si>
  <si>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</si>
  <si>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</si>
  <si>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</si>
  <si>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</si>
  <si>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</si>
  <si>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Week_46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</si>
  <si>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</si>
  <si>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</si>
  <si>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</si>
  <si>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</si>
  <si>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</si>
  <si>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</si>
  <si>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Week_47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</si>
  <si>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</si>
  <si>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</si>
  <si>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</si>
  <si>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</si>
  <si>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</si>
  <si>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</si>
  <si>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Week_48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</si>
  <si>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</si>
  <si>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</si>
  <si>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</si>
  <si>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</si>
  <si>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</si>
  <si>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</si>
  <si>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Week_49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</si>
  <si>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</si>
  <si>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</si>
  <si>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</si>
  <si>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</si>
  <si>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</si>
  <si>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</si>
  <si>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Week_50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</si>
  <si>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</si>
  <si>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</si>
  <si>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</si>
  <si>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</si>
  <si>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</si>
  <si>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</si>
  <si>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Week_51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</si>
  <si>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</si>
  <si>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</si>
  <si>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</si>
  <si>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</si>
  <si>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</si>
  <si>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</si>
  <si>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Week_52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</si>
  <si>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</si>
  <si>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</si>
  <si>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</si>
  <si>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</si>
  <si>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</si>
  <si>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</si>
  <si>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Week_53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</si>
  <si>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</si>
  <si>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</si>
  <si>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</si>
  <si>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</si>
  <si>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</si>
  <si>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</si>
  <si>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Week_54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</si>
  <si>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</si>
  <si>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</si>
  <si>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</si>
  <si>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</si>
  <si>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</si>
  <si>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</si>
  <si>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Week_55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</si>
  <si>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</si>
  <si>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</si>
  <si>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</si>
  <si>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</si>
  <si>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</si>
  <si>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</si>
  <si>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Week_56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</si>
  <si>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</si>
  <si>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</si>
  <si>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</si>
  <si>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</si>
  <si>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</si>
  <si>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</si>
  <si>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Week_57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</si>
  <si>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</si>
  <si>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</si>
  <si>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</si>
  <si>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</si>
  <si>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</si>
  <si>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</si>
  <si>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Week_58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</si>
  <si>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</si>
  <si>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</si>
  <si>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</si>
  <si>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</si>
  <si>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</si>
  <si>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</si>
  <si>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Week_59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</si>
  <si>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</si>
  <si>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</si>
  <si>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</si>
  <si>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</si>
  <si>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</si>
  <si>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</si>
  <si>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Week_60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</si>
  <si>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</si>
  <si>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</si>
  <si>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</si>
  <si>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</si>
  <si>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</si>
  <si>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</si>
  <si>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Week_61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</si>
  <si>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</si>
  <si>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</si>
  <si>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</si>
  <si>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</si>
  <si>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</si>
  <si>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</si>
  <si>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Week_62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</si>
  <si>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</si>
  <si>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</si>
  <si>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</si>
  <si>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</si>
  <si>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</si>
  <si>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</si>
  <si>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Week_63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</si>
  <si>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</si>
  <si>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</si>
  <si>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</si>
  <si>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</si>
  <si>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</si>
  <si>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</si>
  <si>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Week_64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</si>
  <si>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</si>
  <si>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</si>
  <si>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</si>
  <si>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</si>
  <si>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</si>
  <si>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</si>
  <si>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Week_65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</si>
  <si>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</si>
  <si>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</si>
  <si>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</si>
  <si>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</si>
  <si>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</si>
  <si>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</si>
  <si>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Week_66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</si>
  <si>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</si>
  <si>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</si>
  <si>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</si>
  <si>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</si>
  <si>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</si>
  <si>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</si>
  <si>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Week_67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</si>
  <si>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</si>
  <si>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</si>
  <si>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</si>
  <si>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</si>
  <si>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</si>
  <si>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</si>
  <si>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Week_68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</si>
  <si>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</si>
  <si>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</si>
  <si>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</si>
  <si>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</si>
  <si>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</si>
  <si>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</si>
  <si>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Week_69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</si>
  <si>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</si>
  <si>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</si>
  <si>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</si>
  <si>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</si>
  <si>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</si>
  <si>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</si>
  <si>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Week_70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</si>
  <si>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</si>
  <si>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</si>
  <si>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</si>
  <si>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</si>
  <si>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</si>
  <si>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</si>
  <si>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Week_71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</si>
  <si>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</si>
  <si>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</si>
  <si>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</si>
  <si>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</si>
  <si>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</si>
  <si>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</si>
  <si>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Week_72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</si>
  <si>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</si>
  <si>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</si>
  <si>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</si>
  <si>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</si>
  <si>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</si>
  <si>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</si>
  <si>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Week_73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</si>
  <si>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</si>
  <si>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</si>
  <si>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</si>
  <si>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</si>
  <si>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</si>
  <si>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</si>
  <si>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Week_74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</si>
  <si>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</si>
  <si>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</si>
  <si>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</si>
  <si>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</si>
  <si>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</si>
  <si>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</si>
  <si>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Week_75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</si>
  <si>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</si>
  <si>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</si>
  <si>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</si>
  <si>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</si>
  <si>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</si>
  <si>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</si>
  <si>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Week_76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</si>
  <si>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</si>
  <si>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</si>
  <si>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</si>
  <si>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</si>
  <si>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</si>
  <si>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</si>
  <si>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Week_77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</si>
  <si>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</si>
  <si>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</si>
  <si>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</si>
  <si>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</si>
  <si>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</si>
  <si>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</si>
  <si>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Week_78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</si>
  <si>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</si>
  <si>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</si>
  <si>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</si>
  <si>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</si>
  <si>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</si>
  <si>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</si>
  <si>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Week_79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</si>
  <si>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</si>
  <si>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</si>
  <si>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</si>
  <si>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</si>
  <si>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</si>
  <si>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</si>
  <si>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Week_80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</si>
  <si>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</si>
  <si>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</si>
  <si>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</si>
  <si>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</si>
  <si>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</si>
  <si>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</si>
  <si>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Week_81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</si>
  <si>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</si>
  <si>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</si>
  <si>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</si>
  <si>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</si>
  <si>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</si>
  <si>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</si>
  <si>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Week_82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</si>
  <si>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</si>
  <si>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</si>
  <si>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</si>
  <si>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</si>
  <si>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</si>
  <si>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</si>
  <si>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Week_83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</si>
  <si>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</si>
  <si>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</si>
  <si>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</si>
  <si>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</si>
  <si>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</si>
  <si>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</si>
  <si>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Week_84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</si>
  <si>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</si>
  <si>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</si>
  <si>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</si>
  <si>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</si>
  <si>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</si>
  <si>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</si>
  <si>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Week_85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</si>
  <si>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</si>
  <si>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</si>
  <si>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</si>
  <si>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</si>
  <si>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</si>
  <si>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</si>
  <si>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Week_86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</si>
  <si>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</si>
  <si>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</si>
  <si>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</si>
  <si>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</si>
  <si>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</si>
  <si>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</si>
  <si>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Week_87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</si>
  <si>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</si>
  <si>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</si>
  <si>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</si>
  <si>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</si>
  <si>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</si>
  <si>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</si>
  <si>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Week_88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</si>
  <si>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</si>
  <si>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</si>
  <si>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</si>
  <si>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</si>
  <si>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</si>
  <si>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</si>
  <si>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Week_89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</si>
  <si>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</si>
  <si>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</si>
  <si>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</si>
  <si>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</si>
  <si>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</si>
  <si>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</si>
  <si>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Week_90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</si>
  <si>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</si>
  <si>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</si>
  <si>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</si>
  <si>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</si>
  <si>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</si>
  <si>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</si>
  <si>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Week_91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</si>
  <si>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</si>
  <si>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</si>
  <si>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</si>
  <si>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</si>
  <si>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</si>
  <si>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</si>
  <si>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Week_92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</si>
  <si>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</si>
  <si>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</si>
  <si>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</si>
  <si>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</si>
  <si>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</si>
  <si>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</si>
  <si>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Week_93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</si>
  <si>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</si>
  <si>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</si>
  <si>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</si>
  <si>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</si>
  <si>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</si>
  <si>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</si>
  <si>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Week_94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</si>
  <si>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</si>
  <si>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</si>
  <si>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</si>
  <si>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</si>
  <si>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</si>
  <si>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</si>
  <si>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Week_95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</si>
  <si>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</si>
  <si>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</si>
  <si>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</si>
  <si>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</si>
  <si>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</si>
  <si>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</si>
  <si>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Week_96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</si>
  <si>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</si>
  <si>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</si>
  <si>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</si>
  <si>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</si>
  <si>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</si>
  <si>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</si>
  <si>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Week_97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</si>
  <si>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</si>
  <si>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</si>
  <si>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</si>
  <si>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</si>
  <si>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</si>
  <si>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</si>
  <si>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Week_98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</si>
  <si>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</si>
  <si>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</si>
  <si>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</si>
  <si>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</si>
  <si>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</si>
  <si>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</si>
  <si>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Week_99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</si>
  <si>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</si>
  <si>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</si>
  <si>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</si>
  <si>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</si>
  <si>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</si>
  <si>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</si>
  <si>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Week_100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</si>
  <si>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</si>
  <si>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</si>
  <si>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</si>
  <si>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</si>
  <si>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</si>
  <si>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</si>
  <si>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Week_101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</si>
  <si>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</si>
  <si>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</si>
  <si>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</si>
  <si>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</si>
  <si>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</si>
  <si>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</si>
  <si>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Week_102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</si>
  <si>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</si>
  <si>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</si>
  <si>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</si>
  <si>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</si>
  <si>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</si>
  <si>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</si>
  <si>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Week_103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</si>
  <si>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</si>
  <si>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</si>
  <si>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</si>
  <si>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</si>
  <si>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</si>
  <si>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</si>
  <si>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Week_104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</si>
  <si>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</si>
  <si>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</si>
  <si>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</si>
  <si>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</si>
  <si>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</si>
  <si>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</si>
  <si>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Week_105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</si>
  <si>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</si>
  <si>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</si>
  <si>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</si>
  <si>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</si>
  <si>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</si>
  <si>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</si>
  <si>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Week_106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</si>
  <si>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</si>
  <si>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</si>
  <si>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</si>
  <si>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</si>
  <si>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</si>
  <si>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</si>
  <si>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Week_107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</si>
  <si>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</si>
  <si>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</si>
  <si>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</si>
  <si>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</si>
  <si>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</si>
  <si>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</si>
  <si>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Week_108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</si>
  <si>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</si>
  <si>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</si>
  <si>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</si>
  <si>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</si>
  <si>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</si>
  <si>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</si>
  <si>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Week_109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</si>
  <si>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</si>
  <si>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</si>
  <si>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</si>
  <si>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</si>
  <si>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</si>
  <si>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</si>
  <si>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Week_110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</si>
  <si>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</si>
  <si>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</si>
  <si>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</si>
  <si>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</si>
  <si>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</si>
  <si>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</si>
  <si>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Week_111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</si>
  <si>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</si>
  <si>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</si>
  <si>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</si>
  <si>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</si>
  <si>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</si>
  <si>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</si>
  <si>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Week_112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</si>
  <si>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</si>
  <si>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</si>
  <si>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</si>
  <si>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</si>
  <si>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</si>
  <si>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</si>
  <si>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Week_113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</si>
  <si>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</si>
  <si>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</si>
  <si>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</si>
  <si>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</si>
  <si>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</si>
  <si>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</si>
  <si>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Week_114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</si>
  <si>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</si>
  <si>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</si>
  <si>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</si>
  <si>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</si>
  <si>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</si>
  <si>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</si>
  <si>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Week_115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</si>
  <si>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</si>
  <si>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</si>
  <si>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</si>
  <si>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</si>
  <si>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</si>
  <si>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</si>
  <si>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Week_116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</si>
  <si>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</si>
  <si>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</si>
  <si>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</si>
  <si>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</si>
  <si>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</si>
  <si>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</si>
  <si>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Week_117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</si>
  <si>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</si>
  <si>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</si>
  <si>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</si>
  <si>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</si>
  <si>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</si>
  <si>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</si>
  <si>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Week_118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</si>
  <si>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</si>
  <si>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</si>
  <si>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</si>
  <si>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</si>
  <si>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</si>
  <si>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</si>
  <si>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Week_119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</si>
  <si>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</si>
  <si>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</si>
  <si>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</si>
  <si>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</si>
  <si>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</si>
  <si>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</si>
  <si>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Week_120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</si>
  <si>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</si>
  <si>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</si>
  <si>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</si>
  <si>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</si>
  <si>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</si>
  <si>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</si>
  <si>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Week_121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</si>
  <si>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</si>
  <si>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</si>
  <si>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</si>
  <si>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</si>
  <si>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</si>
  <si>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</si>
  <si>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Week_122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</si>
  <si>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</si>
  <si>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</si>
  <si>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</si>
  <si>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</si>
  <si>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</si>
  <si>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</si>
  <si>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Week_123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</si>
  <si>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</si>
  <si>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</si>
  <si>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</si>
  <si>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</si>
  <si>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</si>
  <si>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</si>
  <si>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Week_124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</si>
  <si>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</si>
  <si>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</si>
  <si>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</si>
  <si>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</si>
  <si>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</si>
  <si>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</si>
  <si>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Week_125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</si>
  <si>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</si>
  <si>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</si>
  <si>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</si>
  <si>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</si>
  <si>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</si>
  <si>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</si>
  <si>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Week_126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</si>
  <si>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</si>
  <si>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</si>
  <si>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</si>
  <si>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</si>
  <si>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</si>
  <si>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</si>
  <si>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Week_127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</si>
  <si>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</si>
  <si>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</si>
  <si>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</si>
  <si>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</si>
  <si>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</si>
  <si>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</si>
  <si>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Week_128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</si>
  <si>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</si>
  <si>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</si>
  <si>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</si>
  <si>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</si>
  <si>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</si>
  <si>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</si>
  <si>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Week_129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</si>
  <si>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</si>
  <si>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</si>
  <si>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</si>
  <si>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</si>
  <si>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</si>
  <si>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</si>
  <si>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Week_130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</si>
  <si>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</si>
  <si>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</si>
  <si>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</si>
  <si>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</si>
  <si>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</si>
  <si>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</si>
  <si>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Week_131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</si>
  <si>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</si>
  <si>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</si>
  <si>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</si>
  <si>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</si>
  <si>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</si>
  <si>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</si>
  <si>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Week_132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</si>
  <si>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</si>
  <si>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</si>
  <si>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</si>
  <si>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</si>
  <si>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</si>
  <si>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</si>
  <si>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Week_133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</si>
  <si>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</si>
  <si>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</si>
  <si>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</si>
  <si>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</si>
  <si>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</si>
  <si>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</si>
  <si>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Week_134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</si>
  <si>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</si>
  <si>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</si>
  <si>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</si>
  <si>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</si>
  <si>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</si>
  <si>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</si>
  <si>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Week_135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</si>
  <si>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</si>
  <si>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</si>
  <si>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</si>
  <si>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</si>
  <si>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</si>
  <si>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</si>
  <si>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Week_136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</si>
  <si>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</si>
  <si>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</si>
  <si>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</si>
  <si>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</si>
  <si>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</si>
  <si>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</si>
  <si>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Week_137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</si>
  <si>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</si>
  <si>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</si>
  <si>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</si>
  <si>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</si>
  <si>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</si>
  <si>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</si>
  <si>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Week_138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</si>
  <si>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</si>
  <si>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</si>
  <si>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</si>
  <si>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</si>
  <si>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</si>
  <si>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</si>
  <si>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Week_139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</si>
  <si>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</si>
  <si>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</si>
  <si>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</si>
  <si>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</si>
  <si>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</si>
  <si>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</si>
  <si>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Week_140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</si>
  <si>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</si>
  <si>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</si>
  <si>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</si>
  <si>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</si>
  <si>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</si>
  <si>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</si>
  <si>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Week_141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</si>
  <si>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</si>
  <si>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</si>
  <si>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</si>
  <si>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</si>
  <si>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</si>
  <si>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</si>
  <si>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Week_142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</si>
  <si>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</si>
  <si>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</si>
  <si>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</si>
  <si>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</si>
  <si>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</si>
  <si>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</si>
  <si>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Week_143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</si>
  <si>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</si>
  <si>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</si>
  <si>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</si>
  <si>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</si>
  <si>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</si>
  <si>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</si>
  <si>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Week_144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</si>
  <si>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</si>
  <si>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</si>
  <si>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</si>
  <si>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</si>
  <si>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</si>
  <si>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</si>
  <si>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Week_145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</si>
  <si>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</si>
  <si>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</si>
  <si>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</si>
  <si>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</si>
  <si>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</si>
  <si>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</si>
  <si>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Week_146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</si>
  <si>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</si>
  <si>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</si>
  <si>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</si>
  <si>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</si>
  <si>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</si>
  <si>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</si>
  <si>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Week_147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</si>
  <si>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</si>
  <si>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</si>
  <si>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</si>
  <si>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</si>
  <si>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</si>
  <si>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</si>
  <si>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Week_148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</si>
  <si>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</si>
  <si>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</si>
  <si>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</si>
  <si>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</si>
  <si>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</si>
  <si>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</si>
  <si>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Week_149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</si>
  <si>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</si>
  <si>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</si>
  <si>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</si>
  <si>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</si>
  <si>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</si>
  <si>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</si>
  <si>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Week_150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</si>
  <si>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</si>
  <si>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</si>
  <si>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</si>
  <si>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</si>
  <si>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</si>
  <si>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</si>
  <si>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Week_151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</si>
  <si>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</si>
  <si>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</si>
  <si>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</si>
  <si>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</si>
  <si>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</si>
  <si>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</si>
  <si>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Week_152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</si>
  <si>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</si>
  <si>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</si>
  <si>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</si>
  <si>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</si>
  <si>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</si>
  <si>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</si>
  <si>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Week_153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</si>
  <si>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</si>
  <si>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</si>
  <si>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</si>
  <si>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</si>
  <si>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</si>
  <si>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</si>
  <si>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Week_154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</si>
  <si>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</si>
  <si>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</si>
  <si>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</si>
  <si>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</si>
  <si>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</si>
  <si>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</si>
  <si>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Week_155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</si>
  <si>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</si>
  <si>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</si>
  <si>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</si>
  <si>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</si>
  <si>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</si>
  <si>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</si>
  <si>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Week_156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</si>
  <si>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</si>
  <si>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</si>
  <si>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</si>
  <si>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</si>
  <si>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</si>
  <si>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</si>
  <si>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Week_157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</si>
  <si>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</si>
  <si>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</si>
  <si>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</si>
  <si>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</si>
  <si>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</si>
  <si>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</si>
  <si>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Week_158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</si>
  <si>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</si>
  <si>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</si>
  <si>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</si>
  <si>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</si>
  <si>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</si>
  <si>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</si>
  <si>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Week_159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</si>
  <si>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</si>
  <si>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</si>
  <si>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</si>
  <si>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</si>
  <si>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</si>
  <si>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</si>
  <si>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Week_160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</si>
  <si>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</si>
  <si>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</si>
  <si>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</si>
  <si>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</si>
  <si>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</si>
  <si>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</si>
  <si>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Week_161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</si>
  <si>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</si>
  <si>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</si>
  <si>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</si>
  <si>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</si>
  <si>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</si>
  <si>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</si>
  <si>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Week_162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</si>
  <si>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</si>
  <si>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</si>
  <si>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</si>
  <si>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</si>
  <si>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</si>
  <si>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</si>
  <si>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Week_163</t>
    </r>
  </si>
  <si>
    <r>
      <rPr>
        <sz val="11"/>
        <rFont val="Arial"/>
      </rPr>
      <t>Week_164</t>
    </r>
  </si>
  <si>
    <t>Weekly_cases</t>
  </si>
  <si>
    <t>Weekly_deaths</t>
  </si>
  <si>
    <t>Case_change</t>
  </si>
  <si>
    <t>Case_pct_change</t>
  </si>
  <si>
    <t>Case_spike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</si>
</sst>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4"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3" fillId="0" borderId="0" xfId="0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Weekly COVID-19 Cases — Bangladesh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Weekly_Surveillance!$B$2:$B$165</c:f>
              <c:numCache>
                <c:formatCode>General</c:formatCode>
                <c:ptCount val="16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3.0</c:v>
                </c:pt>
                <c:pt idx="7">
                  <c:v>11.0</c:v>
                </c:pt>
                <c:pt idx="8">
                  <c:v>25.0</c:v>
                </c:pt>
                <c:pt idx="9">
                  <c:v>15.0</c:v>
                </c:pt>
                <c:pt idx="10">
                  <c:v>164.0</c:v>
                </c:pt>
                <c:pt idx="11">
                  <c:v>1013.0</c:v>
                </c:pt>
                <c:pt idx="12">
                  <c:v>2541.0</c:v>
                </c:pt>
                <c:pt idx="13">
                  <c:v>3331.0</c:v>
                </c:pt>
                <c:pt idx="14">
                  <c:v>4616.0</c:v>
                </c:pt>
                <c:pt idx="15">
                  <c:v>6103.0</c:v>
                </c:pt>
                <c:pt idx="16">
                  <c:v>8916.0</c:v>
                </c:pt>
                <c:pt idx="17">
                  <c:v>11554.0</c:v>
                </c:pt>
                <c:pt idx="18">
                  <c:v>16848.0</c:v>
                </c:pt>
                <c:pt idx="19">
                  <c:v>19725.0</c:v>
                </c:pt>
                <c:pt idx="20">
                  <c:v>23624.0</c:v>
                </c:pt>
                <c:pt idx="21">
                  <c:v>24171.0</c:v>
                </c:pt>
                <c:pt idx="22">
                  <c:v>26598.0</c:v>
                </c:pt>
                <c:pt idx="23">
                  <c:v>22876.0</c:v>
                </c:pt>
                <c:pt idx="24">
                  <c:v>21456.0</c:v>
                </c:pt>
                <c:pt idx="25">
                  <c:v>19664.0</c:v>
                </c:pt>
                <c:pt idx="26">
                  <c:v>18940.0</c:v>
                </c:pt>
                <c:pt idx="27">
                  <c:v>14480.0</c:v>
                </c:pt>
                <c:pt idx="28">
                  <c:v>19824.0</c:v>
                </c:pt>
                <c:pt idx="29">
                  <c:v>18593.0</c:v>
                </c:pt>
                <c:pt idx="30">
                  <c:v>17056.0</c:v>
                </c:pt>
                <c:pt idx="31">
                  <c:v>15381.0</c:v>
                </c:pt>
                <c:pt idx="32">
                  <c:v>13550.0</c:v>
                </c:pt>
                <c:pt idx="33">
                  <c:v>11593.0</c:v>
                </c:pt>
                <c:pt idx="34">
                  <c:v>11173.0</c:v>
                </c:pt>
                <c:pt idx="35">
                  <c:v>9635.0</c:v>
                </c:pt>
                <c:pt idx="36">
                  <c:v>9672.0</c:v>
                </c:pt>
                <c:pt idx="37">
                  <c:v>9808.0</c:v>
                </c:pt>
                <c:pt idx="38">
                  <c:v>10172.0</c:v>
                </c:pt>
                <c:pt idx="39">
                  <c:v>9948.0</c:v>
                </c:pt>
                <c:pt idx="40">
                  <c:v>11085.0</c:v>
                </c:pt>
                <c:pt idx="41">
                  <c:v>11189.0</c:v>
                </c:pt>
                <c:pt idx="42">
                  <c:v>13442.0</c:v>
                </c:pt>
                <c:pt idx="43">
                  <c:v>15351.0</c:v>
                </c:pt>
                <c:pt idx="44">
                  <c:v>15277.0</c:v>
                </c:pt>
                <c:pt idx="45">
                  <c:v>14681.0</c:v>
                </c:pt>
                <c:pt idx="46">
                  <c:v>11737.0</c:v>
                </c:pt>
                <c:pt idx="47">
                  <c:v>9027.0</c:v>
                </c:pt>
                <c:pt idx="48">
                  <c:v>7628.0</c:v>
                </c:pt>
                <c:pt idx="49">
                  <c:v>6402.0</c:v>
                </c:pt>
                <c:pt idx="50">
                  <c:v>6012.0</c:v>
                </c:pt>
                <c:pt idx="51">
                  <c:v>4777.0</c:v>
                </c:pt>
                <c:pt idx="52">
                  <c:v>3757.0</c:v>
                </c:pt>
                <c:pt idx="53">
                  <c:v>3101.0</c:v>
                </c:pt>
                <c:pt idx="54">
                  <c:v>2608.0</c:v>
                </c:pt>
                <c:pt idx="55">
                  <c:v>2724.0</c:v>
                </c:pt>
                <c:pt idx="56">
                  <c:v>2667.0</c:v>
                </c:pt>
                <c:pt idx="57">
                  <c:v>3386.0</c:v>
                </c:pt>
                <c:pt idx="58">
                  <c:v>5175.0</c:v>
                </c:pt>
                <c:pt idx="59">
                  <c:v>9647.0</c:v>
                </c:pt>
                <c:pt idx="60">
                  <c:v>18056.0</c:v>
                </c:pt>
                <c:pt idx="61">
                  <c:v>30487.0</c:v>
                </c:pt>
                <c:pt idx="62">
                  <c:v>47983.0</c:v>
                </c:pt>
                <c:pt idx="63">
                  <c:v>43892.0</c:v>
                </c:pt>
                <c:pt idx="64">
                  <c:v>28890.0</c:v>
                </c:pt>
                <c:pt idx="65">
                  <c:v>22554.0</c:v>
                </c:pt>
                <c:pt idx="66">
                  <c:v>12724.0</c:v>
                </c:pt>
                <c:pt idx="67">
                  <c:v>10059.0</c:v>
                </c:pt>
                <c:pt idx="68">
                  <c:v>6340.0</c:v>
                </c:pt>
                <c:pt idx="69">
                  <c:v>9956.0</c:v>
                </c:pt>
                <c:pt idx="70">
                  <c:v>10600.0</c:v>
                </c:pt>
                <c:pt idx="71">
                  <c:v>13526.0</c:v>
                </c:pt>
                <c:pt idx="72">
                  <c:v>19428.0</c:v>
                </c:pt>
                <c:pt idx="73">
                  <c:v>29630.0</c:v>
                </c:pt>
                <c:pt idx="74">
                  <c:v>46381.0</c:v>
                </c:pt>
                <c:pt idx="75">
                  <c:v>64310.0</c:v>
                </c:pt>
                <c:pt idx="76">
                  <c:v>81970.0</c:v>
                </c:pt>
                <c:pt idx="77">
                  <c:v>76965.0</c:v>
                </c:pt>
                <c:pt idx="78">
                  <c:v>74479.0</c:v>
                </c:pt>
                <c:pt idx="79">
                  <c:v>98928.0</c:v>
                </c:pt>
                <c:pt idx="80">
                  <c:v>76832.0</c:v>
                </c:pt>
                <c:pt idx="81">
                  <c:v>53902.0</c:v>
                </c:pt>
                <c:pt idx="82">
                  <c:v>37286.0</c:v>
                </c:pt>
                <c:pt idx="83">
                  <c:v>25750.0</c:v>
                </c:pt>
                <c:pt idx="84">
                  <c:v>18622.0</c:v>
                </c:pt>
                <c:pt idx="85">
                  <c:v>14039.0</c:v>
                </c:pt>
                <c:pt idx="86">
                  <c:v>10835.0</c:v>
                </c:pt>
                <c:pt idx="87">
                  <c:v>7875.0</c:v>
                </c:pt>
                <c:pt idx="88">
                  <c:v>5104.0</c:v>
                </c:pt>
                <c:pt idx="89">
                  <c:v>3864.0</c:v>
                </c:pt>
                <c:pt idx="90">
                  <c:v>2645.0</c:v>
                </c:pt>
                <c:pt idx="91">
                  <c:v>1899.0</c:v>
                </c:pt>
                <c:pt idx="92">
                  <c:v>1675.0</c:v>
                </c:pt>
                <c:pt idx="93">
                  <c:v>1431.0</c:v>
                </c:pt>
                <c:pt idx="94">
                  <c:v>1545.0</c:v>
                </c:pt>
                <c:pt idx="95">
                  <c:v>1734.0</c:v>
                </c:pt>
                <c:pt idx="96">
                  <c:v>1618.0</c:v>
                </c:pt>
                <c:pt idx="97">
                  <c:v>1722.0</c:v>
                </c:pt>
                <c:pt idx="98">
                  <c:v>2014.0</c:v>
                </c:pt>
                <c:pt idx="99">
                  <c:v>1684.0</c:v>
                </c:pt>
                <c:pt idx="100">
                  <c:v>2532.0</c:v>
                </c:pt>
                <c:pt idx="101">
                  <c:v>4289.0</c:v>
                </c:pt>
                <c:pt idx="102">
                  <c:v>12498.0</c:v>
                </c:pt>
                <c:pt idx="103">
                  <c:v>40989.0</c:v>
                </c:pt>
                <c:pt idx="104">
                  <c:v>89230.0</c:v>
                </c:pt>
                <c:pt idx="105">
                  <c:v>92656.0</c:v>
                </c:pt>
                <c:pt idx="106">
                  <c:v>63091.0</c:v>
                </c:pt>
                <c:pt idx="107">
                  <c:v>35760.0</c:v>
                </c:pt>
                <c:pt idx="108">
                  <c:v>15104.0</c:v>
                </c:pt>
                <c:pt idx="109">
                  <c:v>6973.0</c:v>
                </c:pt>
                <c:pt idx="110">
                  <c:v>3363.0</c:v>
                </c:pt>
                <c:pt idx="111">
                  <c:v>1653.0</c:v>
                </c:pt>
                <c:pt idx="112">
                  <c:v>856.0</c:v>
                </c:pt>
                <c:pt idx="113">
                  <c:v>524.0</c:v>
                </c:pt>
                <c:pt idx="114">
                  <c:v>399.0</c:v>
                </c:pt>
                <c:pt idx="115">
                  <c:v>259.0</c:v>
                </c:pt>
                <c:pt idx="116">
                  <c:v>278.0</c:v>
                </c:pt>
                <c:pt idx="117">
                  <c:v>185.0</c:v>
                </c:pt>
                <c:pt idx="118">
                  <c:v>118.0</c:v>
                </c:pt>
                <c:pt idx="119">
                  <c:v>145.0</c:v>
                </c:pt>
                <c:pt idx="120">
                  <c:v>215.0</c:v>
                </c:pt>
                <c:pt idx="121">
                  <c:v>225.0</c:v>
                </c:pt>
                <c:pt idx="122">
                  <c:v>213.0</c:v>
                </c:pt>
                <c:pt idx="123">
                  <c:v>271.0</c:v>
                </c:pt>
                <c:pt idx="124">
                  <c:v>825.0</c:v>
                </c:pt>
                <c:pt idx="125">
                  <c:v>4572.0</c:v>
                </c:pt>
                <c:pt idx="126">
                  <c:v>12393.0</c:v>
                </c:pt>
                <c:pt idx="127">
                  <c:v>13098.0</c:v>
                </c:pt>
                <c:pt idx="128">
                  <c:v>7358.0</c:v>
                </c:pt>
                <c:pt idx="129">
                  <c:v>7337.0</c:v>
                </c:pt>
                <c:pt idx="130">
                  <c:v>4175.0</c:v>
                </c:pt>
                <c:pt idx="131">
                  <c:v>2798.0</c:v>
                </c:pt>
                <c:pt idx="132">
                  <c:v>1700.0</c:v>
                </c:pt>
                <c:pt idx="133">
                  <c:v>1366.0</c:v>
                </c:pt>
                <c:pt idx="134">
                  <c:v>1056.0</c:v>
                </c:pt>
                <c:pt idx="135">
                  <c:v>1456.0</c:v>
                </c:pt>
                <c:pt idx="136">
                  <c:v>1743.0</c:v>
                </c:pt>
                <c:pt idx="137">
                  <c:v>2456.0</c:v>
                </c:pt>
                <c:pt idx="138">
                  <c:v>3325.0</c:v>
                </c:pt>
                <c:pt idx="139">
                  <c:v>4340.0</c:v>
                </c:pt>
                <c:pt idx="140">
                  <c:v>4304.0</c:v>
                </c:pt>
                <c:pt idx="141">
                  <c:v>2892.0</c:v>
                </c:pt>
                <c:pt idx="142">
                  <c:v>2413.0</c:v>
                </c:pt>
                <c:pt idx="143">
                  <c:v>1310.0</c:v>
                </c:pt>
                <c:pt idx="144">
                  <c:v>788.0</c:v>
                </c:pt>
                <c:pt idx="145">
                  <c:v>475.0</c:v>
                </c:pt>
                <c:pt idx="146">
                  <c:v>276.0</c:v>
                </c:pt>
                <c:pt idx="147">
                  <c:v>181.0</c:v>
                </c:pt>
                <c:pt idx="148">
                  <c:v>136.0</c:v>
                </c:pt>
                <c:pt idx="149">
                  <c:v>132.0</c:v>
                </c:pt>
                <c:pt idx="150">
                  <c:v>149.0</c:v>
                </c:pt>
                <c:pt idx="151">
                  <c:v>121.0</c:v>
                </c:pt>
                <c:pt idx="152">
                  <c:v>80.0</c:v>
                </c:pt>
                <c:pt idx="153">
                  <c:v>141.0</c:v>
                </c:pt>
                <c:pt idx="154">
                  <c:v>119.0</c:v>
                </c:pt>
                <c:pt idx="155">
                  <c:v>72.0</c:v>
                </c:pt>
                <c:pt idx="156">
                  <c:v>79.0</c:v>
                </c:pt>
                <c:pt idx="157">
                  <c:v>90.0</c:v>
                </c:pt>
                <c:pt idx="158">
                  <c:v>79.0</c:v>
                </c:pt>
                <c:pt idx="159">
                  <c:v>69.0</c:v>
                </c:pt>
                <c:pt idx="160">
                  <c:v>57.0</c:v>
                </c:pt>
                <c:pt idx="161">
                  <c:v>56.0</c:v>
                </c:pt>
                <c:pt idx="162">
                  <c:v>42.0</c:v>
                </c:pt>
                <c:pt idx="163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578490"/>
        <c:axId val="475571694"/>
      </c:lineChart>
      <c:catAx>
        <c:axId val="4075784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71694"/>
        <c:crosses val="autoZero"/>
        <c:auto val="1"/>
        <c:lblAlgn val="ctr"/>
        <c:lblOffset val="100"/>
        <c:noMultiLvlLbl val="0"/>
      </c:catAx>
      <c:valAx>
        <c:axId val="475571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784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Weekly COVID-19 Deaths — Bangladesh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Weekly_Surveillance!$C$1</c:f>
              <c:strCache>
                <c:ptCount val="1"/>
                <c:pt idx="0">
                  <c:v>Weekly_deaths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Weekly_Surveillance!$C$2:$C$165</c:f>
              <c:numCache>
                <c:formatCode>General</c:formatCode>
                <c:ptCount val="16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1.0</c:v>
                </c:pt>
                <c:pt idx="8">
                  <c:v>4.0</c:v>
                </c:pt>
                <c:pt idx="9">
                  <c:v>1.0</c:v>
                </c:pt>
                <c:pt idx="10">
                  <c:v>14.0</c:v>
                </c:pt>
                <c:pt idx="11">
                  <c:v>30.0</c:v>
                </c:pt>
                <c:pt idx="12">
                  <c:v>70.0</c:v>
                </c:pt>
                <c:pt idx="13">
                  <c:v>43.0</c:v>
                </c:pt>
                <c:pt idx="14">
                  <c:v>23.0</c:v>
                </c:pt>
                <c:pt idx="15">
                  <c:v>83.0</c:v>
                </c:pt>
                <c:pt idx="16">
                  <c:v>117.0</c:v>
                </c:pt>
                <c:pt idx="17">
                  <c:v>158.0</c:v>
                </c:pt>
                <c:pt idx="18">
                  <c:v>202.0</c:v>
                </c:pt>
                <c:pt idx="19">
                  <c:v>266.0</c:v>
                </c:pt>
                <c:pt idx="20">
                  <c:v>293.0</c:v>
                </c:pt>
                <c:pt idx="21">
                  <c:v>277.0</c:v>
                </c:pt>
                <c:pt idx="22">
                  <c:v>306.0</c:v>
                </c:pt>
                <c:pt idx="23">
                  <c:v>309.0</c:v>
                </c:pt>
                <c:pt idx="24">
                  <c:v>260.0</c:v>
                </c:pt>
                <c:pt idx="25">
                  <c:v>294.0</c:v>
                </c:pt>
                <c:pt idx="26">
                  <c:v>284.0</c:v>
                </c:pt>
                <c:pt idx="27">
                  <c:v>232.0</c:v>
                </c:pt>
                <c:pt idx="28">
                  <c:v>246.0</c:v>
                </c:pt>
                <c:pt idx="29">
                  <c:v>268.0</c:v>
                </c:pt>
                <c:pt idx="30">
                  <c:v>301.0</c:v>
                </c:pt>
                <c:pt idx="31">
                  <c:v>269.0</c:v>
                </c:pt>
                <c:pt idx="32">
                  <c:v>242.0</c:v>
                </c:pt>
                <c:pt idx="33">
                  <c:v>230.0</c:v>
                </c:pt>
                <c:pt idx="34">
                  <c:v>221.0</c:v>
                </c:pt>
                <c:pt idx="35">
                  <c:v>207.0</c:v>
                </c:pt>
                <c:pt idx="36">
                  <c:v>189.0</c:v>
                </c:pt>
                <c:pt idx="37">
                  <c:v>153.0</c:v>
                </c:pt>
                <c:pt idx="38">
                  <c:v>130.0</c:v>
                </c:pt>
                <c:pt idx="39">
                  <c:v>138.0</c:v>
                </c:pt>
                <c:pt idx="40">
                  <c:v>143.0</c:v>
                </c:pt>
                <c:pt idx="41">
                  <c:v>123.0</c:v>
                </c:pt>
                <c:pt idx="42">
                  <c:v>148.0</c:v>
                </c:pt>
                <c:pt idx="43">
                  <c:v>212.0</c:v>
                </c:pt>
                <c:pt idx="44">
                  <c:v>226.0</c:v>
                </c:pt>
                <c:pt idx="45">
                  <c:v>217.0</c:v>
                </c:pt>
                <c:pt idx="46">
                  <c:v>226.0</c:v>
                </c:pt>
                <c:pt idx="47">
                  <c:v>203.0</c:v>
                </c:pt>
                <c:pt idx="48">
                  <c:v>172.0</c:v>
                </c:pt>
                <c:pt idx="49">
                  <c:v>156.0</c:v>
                </c:pt>
                <c:pt idx="50">
                  <c:v>146.0</c:v>
                </c:pt>
                <c:pt idx="51">
                  <c:v>117.0</c:v>
                </c:pt>
                <c:pt idx="52">
                  <c:v>122.0</c:v>
                </c:pt>
                <c:pt idx="53">
                  <c:v>90.0</c:v>
                </c:pt>
                <c:pt idx="54">
                  <c:v>77.0</c:v>
                </c:pt>
                <c:pt idx="55">
                  <c:v>75.0</c:v>
                </c:pt>
                <c:pt idx="56">
                  <c:v>65.0</c:v>
                </c:pt>
                <c:pt idx="57">
                  <c:v>49.0</c:v>
                </c:pt>
                <c:pt idx="58">
                  <c:v>68.0</c:v>
                </c:pt>
                <c:pt idx="59">
                  <c:v>112.0</c:v>
                </c:pt>
                <c:pt idx="60">
                  <c:v>155.0</c:v>
                </c:pt>
                <c:pt idx="61">
                  <c:v>283.0</c:v>
                </c:pt>
                <c:pt idx="62">
                  <c:v>401.0</c:v>
                </c:pt>
                <c:pt idx="63">
                  <c:v>540.0</c:v>
                </c:pt>
                <c:pt idx="64">
                  <c:v>696.0</c:v>
                </c:pt>
                <c:pt idx="65">
                  <c:v>622.0</c:v>
                </c:pt>
                <c:pt idx="66">
                  <c:v>450.0</c:v>
                </c:pt>
                <c:pt idx="67">
                  <c:v>290.0</c:v>
                </c:pt>
                <c:pt idx="68">
                  <c:v>203.0</c:v>
                </c:pt>
                <c:pt idx="69">
                  <c:v>210.0</c:v>
                </c:pt>
                <c:pt idx="70">
                  <c:v>236.0</c:v>
                </c:pt>
                <c:pt idx="71">
                  <c:v>255.0</c:v>
                </c:pt>
                <c:pt idx="72">
                  <c:v>333.0</c:v>
                </c:pt>
                <c:pt idx="73">
                  <c:v>505.0</c:v>
                </c:pt>
                <c:pt idx="74">
                  <c:v>716.0</c:v>
                </c:pt>
                <c:pt idx="75">
                  <c:v>1090.0</c:v>
                </c:pt>
                <c:pt idx="76">
                  <c:v>1459.0</c:v>
                </c:pt>
                <c:pt idx="77">
                  <c:v>1446.0</c:v>
                </c:pt>
                <c:pt idx="78">
                  <c:v>1518.0</c:v>
                </c:pt>
                <c:pt idx="79">
                  <c:v>1622.0</c:v>
                </c:pt>
                <c:pt idx="80">
                  <c:v>1760.0</c:v>
                </c:pt>
                <c:pt idx="81">
                  <c:v>1321.0</c:v>
                </c:pt>
                <c:pt idx="82">
                  <c:v>908.0</c:v>
                </c:pt>
                <c:pt idx="83">
                  <c:v>647.0</c:v>
                </c:pt>
                <c:pt idx="84">
                  <c:v>462.0</c:v>
                </c:pt>
                <c:pt idx="85">
                  <c:v>322.0</c:v>
                </c:pt>
                <c:pt idx="86">
                  <c:v>255.0</c:v>
                </c:pt>
                <c:pt idx="87">
                  <c:v>174.0</c:v>
                </c:pt>
                <c:pt idx="88">
                  <c:v>148.0</c:v>
                </c:pt>
                <c:pt idx="89">
                  <c:v>95.0</c:v>
                </c:pt>
                <c:pt idx="90">
                  <c:v>61.0</c:v>
                </c:pt>
                <c:pt idx="91">
                  <c:v>50.0</c:v>
                </c:pt>
                <c:pt idx="92">
                  <c:v>39.0</c:v>
                </c:pt>
                <c:pt idx="93">
                  <c:v>26.0</c:v>
                </c:pt>
                <c:pt idx="94">
                  <c:v>28.0</c:v>
                </c:pt>
                <c:pt idx="95">
                  <c:v>27.0</c:v>
                </c:pt>
                <c:pt idx="96">
                  <c:v>22.0</c:v>
                </c:pt>
                <c:pt idx="97">
                  <c:v>33.0</c:v>
                </c:pt>
                <c:pt idx="98">
                  <c:v>22.0</c:v>
                </c:pt>
                <c:pt idx="99">
                  <c:v>14.0</c:v>
                </c:pt>
                <c:pt idx="100">
                  <c:v>11.0</c:v>
                </c:pt>
                <c:pt idx="101">
                  <c:v>27.0</c:v>
                </c:pt>
                <c:pt idx="102">
                  <c:v>21.0</c:v>
                </c:pt>
                <c:pt idx="103">
                  <c:v>65.0</c:v>
                </c:pt>
                <c:pt idx="104">
                  <c:v>97.0</c:v>
                </c:pt>
                <c:pt idx="105">
                  <c:v>188.0</c:v>
                </c:pt>
                <c:pt idx="106">
                  <c:v>242.0</c:v>
                </c:pt>
                <c:pt idx="107">
                  <c:v>184.0</c:v>
                </c:pt>
                <c:pt idx="108">
                  <c:v>108.0</c:v>
                </c:pt>
                <c:pt idx="109">
                  <c:v>58.0</c:v>
                </c:pt>
                <c:pt idx="110">
                  <c:v>44.0</c:v>
                </c:pt>
                <c:pt idx="111">
                  <c:v>15.0</c:v>
                </c:pt>
                <c:pt idx="112">
                  <c:v>6.0</c:v>
                </c:pt>
                <c:pt idx="113">
                  <c:v>4.0</c:v>
                </c:pt>
                <c:pt idx="114">
                  <c:v>1.0</c:v>
                </c:pt>
                <c:pt idx="115">
                  <c:v>1.0</c:v>
                </c:pt>
                <c:pt idx="116">
                  <c:v>3.0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3.0</c:v>
                </c:pt>
                <c:pt idx="122">
                  <c:v>1.0</c:v>
                </c:pt>
                <c:pt idx="123">
                  <c:v>0.0</c:v>
                </c:pt>
                <c:pt idx="124">
                  <c:v>0.0</c:v>
                </c:pt>
                <c:pt idx="125">
                  <c:v>3.0</c:v>
                </c:pt>
                <c:pt idx="126">
                  <c:v>11.0</c:v>
                </c:pt>
                <c:pt idx="127">
                  <c:v>40.0</c:v>
                </c:pt>
                <c:pt idx="128">
                  <c:v>32.0</c:v>
                </c:pt>
                <c:pt idx="129">
                  <c:v>33.0</c:v>
                </c:pt>
                <c:pt idx="130">
                  <c:v>30.0</c:v>
                </c:pt>
                <c:pt idx="131">
                  <c:v>18.0</c:v>
                </c:pt>
                <c:pt idx="132">
                  <c:v>11.0</c:v>
                </c:pt>
                <c:pt idx="133">
                  <c:v>5.0</c:v>
                </c:pt>
                <c:pt idx="134">
                  <c:v>5.0</c:v>
                </c:pt>
                <c:pt idx="135">
                  <c:v>4.0</c:v>
                </c:pt>
                <c:pt idx="136">
                  <c:v>6.0</c:v>
                </c:pt>
                <c:pt idx="137">
                  <c:v>7.0</c:v>
                </c:pt>
                <c:pt idx="138">
                  <c:v>9.0</c:v>
                </c:pt>
                <c:pt idx="139">
                  <c:v>15.0</c:v>
                </c:pt>
                <c:pt idx="140">
                  <c:v>14.0</c:v>
                </c:pt>
                <c:pt idx="141">
                  <c:v>14.0</c:v>
                </c:pt>
                <c:pt idx="142">
                  <c:v>22.0</c:v>
                </c:pt>
                <c:pt idx="143">
                  <c:v>6.0</c:v>
                </c:pt>
                <c:pt idx="144">
                  <c:v>8.0</c:v>
                </c:pt>
                <c:pt idx="145">
                  <c:v>2.0</c:v>
                </c:pt>
                <c:pt idx="146">
                  <c:v>4.0</c:v>
                </c:pt>
                <c:pt idx="147">
                  <c:v>1.0</c:v>
                </c:pt>
                <c:pt idx="148">
                  <c:v>2.0</c:v>
                </c:pt>
                <c:pt idx="149">
                  <c:v>3.0</c:v>
                </c:pt>
                <c:pt idx="150">
                  <c:v>1.0</c:v>
                </c:pt>
                <c:pt idx="151">
                  <c:v>1.0</c:v>
                </c:pt>
                <c:pt idx="152">
                  <c:v>1.0</c:v>
                </c:pt>
                <c:pt idx="153">
                  <c:v>1.0</c:v>
                </c:pt>
                <c:pt idx="154">
                  <c:v>1.0</c:v>
                </c:pt>
                <c:pt idx="155">
                  <c:v>0.0</c:v>
                </c:pt>
                <c:pt idx="156">
                  <c:v>0.0</c:v>
                </c:pt>
                <c:pt idx="157">
                  <c:v>1.0</c:v>
                </c:pt>
                <c:pt idx="158">
                  <c:v>2.0</c:v>
                </c:pt>
                <c:pt idx="159">
                  <c:v>1.0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67942"/>
        <c:axId val="121445040"/>
      </c:lineChart>
      <c:catAx>
        <c:axId val="46367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040"/>
        <c:crosses val="autoZero"/>
        <c:auto val="1"/>
        <c:lblAlgn val="ctr"/>
        <c:lblOffset val="100"/>
        <c:noMultiLvlLbl val="0"/>
      </c:catAx>
      <c:valAx>
        <c:axId val="12144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79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441517</xdr:colOff>
      <xdr:row>168</xdr:row>
      <xdr:rowOff>12017</xdr:rowOff>
    </xdr:from>
    <xdr:to>
      <xdr:col>15</xdr:col>
      <xdr:colOff>156844</xdr:colOff>
      <xdr:row>201</xdr:row>
      <xdr:rowOff>126541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659671</xdr:colOff>
      <xdr:row>214</xdr:row>
      <xdr:rowOff>75641</xdr:rowOff>
    </xdr:from>
    <xdr:to>
      <xdr:col>14</xdr:col>
      <xdr:colOff>376735</xdr:colOff>
      <xdr:row>249</xdr:row>
      <xdr:rowOff>37467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62"/>
  <sheetViews>
    <sheetView workbookViewId="0" topLeftCell="E1" zoomScale="112">
      <selection activeCell="G1" sqref="G1:G1048576"/>
    </sheetView>
  </sheetViews>
  <sheetFormatPr defaultRowHeight="14.25" defaultColWidth="10"/>
  <cols>
    <col min="1" max="1" customWidth="1" width="14.0625" style="1"/>
    <col min="2" max="2" customWidth="1" width="16.75" style="1"/>
    <col min="3" max="3" customWidth="1" width="18.5625" style="1"/>
    <col min="4" max="4" customWidth="1" width="12.0" style="1"/>
    <col min="5" max="5" customWidth="1" width="11.871094" style="1"/>
    <col min="6" max="6" customWidth="1" width="12.3125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6</v>
      </c>
      <c r="G1" s="1" t="s">
        <v>5</v>
      </c>
    </row>
    <row r="2" spans="8:8" ht="15.1">
      <c r="A2" s="3">
        <v>43852.0</v>
      </c>
      <c r="B2" s="2">
        <v>0.0</v>
      </c>
      <c r="C2" s="2">
        <v>0.0</v>
      </c>
      <c r="D2" s="2">
        <f>_xlfn.IFERROR(B2-B1,0)</f>
        <v>0.0</v>
      </c>
      <c r="E2" s="2">
        <f>_xlfn.IFERROR(C2-C1,0)</f>
        <v>0.0</v>
      </c>
      <c r="F2" s="1">
        <f>INT((A2-DATE(2020,1,22))/7)+1</f>
        <v>1.0</v>
      </c>
      <c r="G2" s="1" t="str">
        <f>"Week_"&amp;F2</f>
        <v>Week_1</v>
      </c>
    </row>
    <row r="3" spans="8:8" ht="15.1">
      <c r="A3" s="3">
        <v>43853.0</v>
      </c>
      <c r="B3" s="2">
        <v>0.0</v>
      </c>
      <c r="C3" s="2">
        <v>0.0</v>
      </c>
      <c r="D3" s="2">
        <f>_xlfn.IFERROR(B3-B2,0)</f>
        <v>0.0</v>
      </c>
      <c r="E3" s="2">
        <f>_xlfn.IFERROR(C3-C2,0)</f>
        <v>0.0</v>
      </c>
      <c r="F3" s="1">
        <f>INT((A3-DATE(2020,1,22))/7)+1</f>
        <v>1.0</v>
      </c>
      <c r="G3" s="1" t="str">
        <f>"Week_"&amp;F3</f>
        <v>Week_1</v>
      </c>
    </row>
    <row r="4" spans="8:8" ht="15.1">
      <c r="A4" s="3">
        <v>43854.0</v>
      </c>
      <c r="B4" s="2">
        <v>0.0</v>
      </c>
      <c r="C4" s="2">
        <v>0.0</v>
      </c>
      <c r="D4" s="2">
        <f>_xlfn.IFERROR(B4-B3,0)</f>
        <v>0.0</v>
      </c>
      <c r="E4" s="2">
        <f>_xlfn.IFERROR(C4-C3,0)</f>
        <v>0.0</v>
      </c>
      <c r="F4" s="1">
        <f>INT((A4-DATE(2020,1,22))/7)+1</f>
        <v>1.0</v>
      </c>
      <c r="G4" s="1" t="str">
        <f>"Week_"&amp;F4</f>
        <v>Week_1</v>
      </c>
    </row>
    <row r="5" spans="8:8" ht="15.1">
      <c r="A5" s="3">
        <v>43855.0</v>
      </c>
      <c r="B5" s="2">
        <v>0.0</v>
      </c>
      <c r="C5" s="2">
        <v>0.0</v>
      </c>
      <c r="D5" s="2">
        <f>_xlfn.IFERROR(B5-B4,0)</f>
        <v>0.0</v>
      </c>
      <c r="E5" s="2">
        <f>_xlfn.IFERROR(C5-C4,0)</f>
        <v>0.0</v>
      </c>
      <c r="F5" s="1">
        <f>INT((A5-DATE(2020,1,22))/7)+1</f>
        <v>1.0</v>
      </c>
      <c r="G5" s="1" t="str">
        <f>"Week_"&amp;F5</f>
        <v>Week_1</v>
      </c>
    </row>
    <row r="6" spans="8:8" ht="15.1">
      <c r="A6" s="3">
        <v>43856.0</v>
      </c>
      <c r="B6" s="2">
        <v>0.0</v>
      </c>
      <c r="C6" s="2">
        <v>0.0</v>
      </c>
      <c r="D6" s="2">
        <f>_xlfn.IFERROR(B6-B5,0)</f>
        <v>0.0</v>
      </c>
      <c r="E6" s="2">
        <f>_xlfn.IFERROR(C6-C5,0)</f>
        <v>0.0</v>
      </c>
      <c r="F6" s="1">
        <f>INT((A6-DATE(2020,1,22))/7)+1</f>
        <v>1.0</v>
      </c>
      <c r="G6" s="1" t="str">
        <f>"Week_"&amp;F6</f>
        <v>Week_1</v>
      </c>
    </row>
    <row r="7" spans="8:8" ht="15.1">
      <c r="A7" s="3">
        <v>43857.0</v>
      </c>
      <c r="B7" s="2">
        <v>0.0</v>
      </c>
      <c r="C7" s="2">
        <v>0.0</v>
      </c>
      <c r="D7" s="2">
        <f>_xlfn.IFERROR(B7-B6,0)</f>
        <v>0.0</v>
      </c>
      <c r="E7" s="2">
        <f>_xlfn.IFERROR(C7-C6,0)</f>
        <v>0.0</v>
      </c>
      <c r="F7" s="1">
        <f>INT((A7-DATE(2020,1,22))/7)+1</f>
        <v>1.0</v>
      </c>
      <c r="G7" s="1" t="str">
        <f>"Week_"&amp;F7</f>
        <v>Week_1</v>
      </c>
    </row>
    <row r="8" spans="8:8" ht="15.1">
      <c r="A8" s="3">
        <v>43858.0</v>
      </c>
      <c r="B8" s="2">
        <v>0.0</v>
      </c>
      <c r="C8" s="2">
        <v>0.0</v>
      </c>
      <c r="D8" s="2">
        <f>_xlfn.IFERROR(B8-B7,0)</f>
        <v>0.0</v>
      </c>
      <c r="E8" s="2">
        <f>_xlfn.IFERROR(C8-C7,0)</f>
        <v>0.0</v>
      </c>
      <c r="F8" s="1">
        <f>INT((A8-DATE(2020,1,22))/7)+1</f>
        <v>1.0</v>
      </c>
      <c r="G8" s="1" t="str">
        <f>"Week_"&amp;F8</f>
        <v>Week_1</v>
      </c>
    </row>
    <row r="9" spans="8:8" ht="15.1">
      <c r="A9" s="3">
        <v>43859.0</v>
      </c>
      <c r="B9" s="2">
        <v>0.0</v>
      </c>
      <c r="C9" s="2">
        <v>0.0</v>
      </c>
      <c r="D9" s="2">
        <f>_xlfn.IFERROR(B9-B8,0)</f>
        <v>0.0</v>
      </c>
      <c r="E9" s="2">
        <f>_xlfn.IFERROR(C9-C8,0)</f>
        <v>0.0</v>
      </c>
      <c r="F9" s="1">
        <f>INT((A9-DATE(2020,1,22))/7)+1</f>
        <v>2.0</v>
      </c>
      <c r="G9" s="1" t="str">
        <f>"Week_"&amp;F9</f>
        <v>Week_2</v>
      </c>
    </row>
    <row r="10" spans="8:8" ht="15.1">
      <c r="A10" s="3">
        <v>43860.0</v>
      </c>
      <c r="B10" s="2">
        <v>0.0</v>
      </c>
      <c r="C10" s="2">
        <v>0.0</v>
      </c>
      <c r="D10" s="2">
        <f>_xlfn.IFERROR(B10-B9,0)</f>
        <v>0.0</v>
      </c>
      <c r="E10" s="2">
        <f>_xlfn.IFERROR(C10-C9,0)</f>
        <v>0.0</v>
      </c>
      <c r="F10" s="1">
        <f>INT((A10-DATE(2020,1,22))/7)+1</f>
        <v>2.0</v>
      </c>
      <c r="G10" s="1" t="str">
        <f>"Week_"&amp;F10</f>
        <v>Week_2</v>
      </c>
    </row>
    <row r="11" spans="8:8" ht="15.1">
      <c r="A11" s="3">
        <v>43861.0</v>
      </c>
      <c r="B11" s="2">
        <v>0.0</v>
      </c>
      <c r="C11" s="2">
        <v>0.0</v>
      </c>
      <c r="D11" s="2">
        <f>_xlfn.IFERROR(B11-B10,0)</f>
        <v>0.0</v>
      </c>
      <c r="E11" s="2">
        <f>_xlfn.IFERROR(C11-C10,0)</f>
        <v>0.0</v>
      </c>
      <c r="F11" s="1">
        <f>INT((A11-DATE(2020,1,22))/7)+1</f>
        <v>2.0</v>
      </c>
      <c r="G11" s="1" t="str">
        <f>"Week_"&amp;F11</f>
        <v>Week_2</v>
      </c>
    </row>
    <row r="12" spans="8:8" ht="15.1">
      <c r="A12" s="3">
        <v>43862.0</v>
      </c>
      <c r="B12" s="2">
        <v>0.0</v>
      </c>
      <c r="C12" s="2">
        <v>0.0</v>
      </c>
      <c r="D12" s="2">
        <f>_xlfn.IFERROR(B12-B11,0)</f>
        <v>0.0</v>
      </c>
      <c r="E12" s="2">
        <f>_xlfn.IFERROR(C12-C11,0)</f>
        <v>0.0</v>
      </c>
      <c r="F12" s="1">
        <f>INT((A12-DATE(2020,1,22))/7)+1</f>
        <v>2.0</v>
      </c>
      <c r="G12" s="1" t="str">
        <f>"Week_"&amp;F12</f>
        <v>Week_2</v>
      </c>
    </row>
    <row r="13" spans="8:8" ht="15.1">
      <c r="A13" s="3">
        <v>43863.0</v>
      </c>
      <c r="B13" s="2">
        <v>0.0</v>
      </c>
      <c r="C13" s="2">
        <v>0.0</v>
      </c>
      <c r="D13" s="2">
        <f>_xlfn.IFERROR(B13-B12,0)</f>
        <v>0.0</v>
      </c>
      <c r="E13" s="2">
        <f>_xlfn.IFERROR(C13-C12,0)</f>
        <v>0.0</v>
      </c>
      <c r="F13" s="1">
        <f>INT((A13-DATE(2020,1,22))/7)+1</f>
        <v>2.0</v>
      </c>
      <c r="G13" s="1" t="str">
        <f>"Week_"&amp;F13</f>
        <v>Week_2</v>
      </c>
    </row>
    <row r="14" spans="8:8" ht="15.1">
      <c r="A14" s="3">
        <v>43864.0</v>
      </c>
      <c r="B14" s="2">
        <v>0.0</v>
      </c>
      <c r="C14" s="2">
        <v>0.0</v>
      </c>
      <c r="D14" s="2">
        <f>_xlfn.IFERROR(B14-B13,0)</f>
        <v>0.0</v>
      </c>
      <c r="E14" s="2">
        <f>_xlfn.IFERROR(C14-C13,0)</f>
        <v>0.0</v>
      </c>
      <c r="F14" s="1">
        <f>INT((A14-DATE(2020,1,22))/7)+1</f>
        <v>2.0</v>
      </c>
      <c r="G14" s="1" t="str">
        <f>"Week_"&amp;F14</f>
        <v>Week_2</v>
      </c>
    </row>
    <row r="15" spans="8:8" ht="15.1">
      <c r="A15" s="3">
        <v>43865.0</v>
      </c>
      <c r="B15" s="2">
        <v>0.0</v>
      </c>
      <c r="C15" s="2">
        <v>0.0</v>
      </c>
      <c r="D15" s="2">
        <f>_xlfn.IFERROR(B15-B14,0)</f>
        <v>0.0</v>
      </c>
      <c r="E15" s="2">
        <f>_xlfn.IFERROR(C15-C14,0)</f>
        <v>0.0</v>
      </c>
      <c r="F15" s="1">
        <f>INT((A15-DATE(2020,1,22))/7)+1</f>
        <v>2.0</v>
      </c>
      <c r="G15" s="1" t="str">
        <f>"Week_"&amp;F15</f>
        <v>Week_2</v>
      </c>
    </row>
    <row r="16" spans="8:8" ht="15.1">
      <c r="A16" s="3">
        <v>43866.0</v>
      </c>
      <c r="B16" s="2">
        <v>0.0</v>
      </c>
      <c r="C16" s="2">
        <v>0.0</v>
      </c>
      <c r="D16" s="2">
        <f>_xlfn.IFERROR(B16-B15,0)</f>
        <v>0.0</v>
      </c>
      <c r="E16" s="2">
        <f>_xlfn.IFERROR(C16-C15,0)</f>
        <v>0.0</v>
      </c>
      <c r="F16" s="1">
        <f>INT((A16-DATE(2020,1,22))/7)+1</f>
        <v>3.0</v>
      </c>
      <c r="G16" s="1" t="str">
        <f>"Week_"&amp;F16</f>
        <v>Week_3</v>
      </c>
    </row>
    <row r="17" spans="8:8" ht="15.1">
      <c r="A17" s="3">
        <v>43867.0</v>
      </c>
      <c r="B17" s="2">
        <v>0.0</v>
      </c>
      <c r="C17" s="2">
        <v>0.0</v>
      </c>
      <c r="D17" s="2">
        <f>_xlfn.IFERROR(B17-B16,0)</f>
        <v>0.0</v>
      </c>
      <c r="E17" s="2">
        <f>_xlfn.IFERROR(C17-C16,0)</f>
        <v>0.0</v>
      </c>
      <c r="F17" s="1">
        <f>INT((A17-DATE(2020,1,22))/7)+1</f>
        <v>3.0</v>
      </c>
      <c r="G17" s="1" t="str">
        <f>"Week_"&amp;F17</f>
        <v>Week_3</v>
      </c>
    </row>
    <row r="18" spans="8:8" ht="15.1">
      <c r="A18" s="3">
        <v>43868.0</v>
      </c>
      <c r="B18" s="2">
        <v>0.0</v>
      </c>
      <c r="C18" s="2">
        <v>0.0</v>
      </c>
      <c r="D18" s="2">
        <f>_xlfn.IFERROR(B18-B17,0)</f>
        <v>0.0</v>
      </c>
      <c r="E18" s="2">
        <f>_xlfn.IFERROR(C18-C17,0)</f>
        <v>0.0</v>
      </c>
      <c r="F18" s="1">
        <f>INT((A18-DATE(2020,1,22))/7)+1</f>
        <v>3.0</v>
      </c>
      <c r="G18" s="1" t="str">
        <f>"Week_"&amp;F18</f>
        <v>Week_3</v>
      </c>
    </row>
    <row r="19" spans="8:8" ht="15.1">
      <c r="A19" s="3">
        <v>43869.0</v>
      </c>
      <c r="B19" s="2">
        <v>0.0</v>
      </c>
      <c r="C19" s="2">
        <v>0.0</v>
      </c>
      <c r="D19" s="2">
        <f>_xlfn.IFERROR(B19-B18,0)</f>
        <v>0.0</v>
      </c>
      <c r="E19" s="2">
        <f>_xlfn.IFERROR(C19-C18,0)</f>
        <v>0.0</v>
      </c>
      <c r="F19" s="1">
        <f>INT((A19-DATE(2020,1,22))/7)+1</f>
        <v>3.0</v>
      </c>
      <c r="G19" s="1" t="str">
        <f>"Week_"&amp;F19</f>
        <v>Week_3</v>
      </c>
    </row>
    <row r="20" spans="8:8" ht="15.1">
      <c r="A20" s="3">
        <v>43870.0</v>
      </c>
      <c r="B20" s="2">
        <v>0.0</v>
      </c>
      <c r="C20" s="2">
        <v>0.0</v>
      </c>
      <c r="D20" s="2">
        <f>_xlfn.IFERROR(B20-B19,0)</f>
        <v>0.0</v>
      </c>
      <c r="E20" s="2">
        <f>_xlfn.IFERROR(C20-C19,0)</f>
        <v>0.0</v>
      </c>
      <c r="F20" s="1">
        <f>INT((A20-DATE(2020,1,22))/7)+1</f>
        <v>3.0</v>
      </c>
      <c r="G20" s="1" t="str">
        <f>"Week_"&amp;F20</f>
        <v>Week_3</v>
      </c>
    </row>
    <row r="21" spans="8:8" ht="15.1">
      <c r="A21" s="3">
        <v>43871.0</v>
      </c>
      <c r="B21" s="2">
        <v>0.0</v>
      </c>
      <c r="C21" s="2">
        <v>0.0</v>
      </c>
      <c r="D21" s="2">
        <f>_xlfn.IFERROR(B21-B20,0)</f>
        <v>0.0</v>
      </c>
      <c r="E21" s="2">
        <f>_xlfn.IFERROR(C21-C20,0)</f>
        <v>0.0</v>
      </c>
      <c r="F21" s="1">
        <f>INT((A21-DATE(2020,1,22))/7)+1</f>
        <v>3.0</v>
      </c>
      <c r="G21" s="1" t="str">
        <f>"Week_"&amp;F21</f>
        <v>Week_3</v>
      </c>
    </row>
    <row r="22" spans="8:8" ht="15.1">
      <c r="A22" s="3">
        <v>43872.0</v>
      </c>
      <c r="B22" s="2">
        <v>0.0</v>
      </c>
      <c r="C22" s="2">
        <v>0.0</v>
      </c>
      <c r="D22" s="2">
        <f>_xlfn.IFERROR(B22-B21,0)</f>
        <v>0.0</v>
      </c>
      <c r="E22" s="2">
        <f>_xlfn.IFERROR(C22-C21,0)</f>
        <v>0.0</v>
      </c>
      <c r="F22" s="1">
        <f>INT((A22-DATE(2020,1,22))/7)+1</f>
        <v>3.0</v>
      </c>
      <c r="G22" s="1" t="str">
        <f>"Week_"&amp;F22</f>
        <v>Week_3</v>
      </c>
    </row>
    <row r="23" spans="8:8" ht="15.1">
      <c r="A23" s="3">
        <v>43873.0</v>
      </c>
      <c r="B23" s="2">
        <v>0.0</v>
      </c>
      <c r="C23" s="2">
        <v>0.0</v>
      </c>
      <c r="D23" s="2">
        <f>_xlfn.IFERROR(B23-B22,0)</f>
        <v>0.0</v>
      </c>
      <c r="E23" s="2">
        <f>_xlfn.IFERROR(C23-C22,0)</f>
        <v>0.0</v>
      </c>
      <c r="F23" s="1">
        <f>INT((A23-DATE(2020,1,22))/7)+1</f>
        <v>4.0</v>
      </c>
      <c r="G23" s="1" t="str">
        <f>"Week_"&amp;F23</f>
        <v>Week_4</v>
      </c>
    </row>
    <row r="24" spans="8:8" ht="15.1">
      <c r="A24" s="3">
        <v>43874.0</v>
      </c>
      <c r="B24" s="2">
        <v>0.0</v>
      </c>
      <c r="C24" s="2">
        <v>0.0</v>
      </c>
      <c r="D24" s="2">
        <f>_xlfn.IFERROR(B24-B23,0)</f>
        <v>0.0</v>
      </c>
      <c r="E24" s="2">
        <f>_xlfn.IFERROR(C24-C23,0)</f>
        <v>0.0</v>
      </c>
      <c r="F24" s="1">
        <f>INT((A24-DATE(2020,1,22))/7)+1</f>
        <v>4.0</v>
      </c>
      <c r="G24" s="1" t="str">
        <f>"Week_"&amp;F24</f>
        <v>Week_4</v>
      </c>
    </row>
    <row r="25" spans="8:8" ht="15.1">
      <c r="A25" s="3">
        <v>43875.0</v>
      </c>
      <c r="B25" s="2">
        <v>0.0</v>
      </c>
      <c r="C25" s="2">
        <v>0.0</v>
      </c>
      <c r="D25" s="2">
        <f>_xlfn.IFERROR(B25-B24,0)</f>
        <v>0.0</v>
      </c>
      <c r="E25" s="2">
        <f>_xlfn.IFERROR(C25-C24,0)</f>
        <v>0.0</v>
      </c>
      <c r="F25" s="1">
        <f>INT((A25-DATE(2020,1,22))/7)+1</f>
        <v>4.0</v>
      </c>
      <c r="G25" s="1" t="str">
        <f>"Week_"&amp;F25</f>
        <v>Week_4</v>
      </c>
    </row>
    <row r="26" spans="8:8" ht="15.1">
      <c r="A26" s="3">
        <v>43876.0</v>
      </c>
      <c r="B26" s="2">
        <v>0.0</v>
      </c>
      <c r="C26" s="2">
        <v>0.0</v>
      </c>
      <c r="D26" s="2">
        <f>_xlfn.IFERROR(B26-B25,0)</f>
        <v>0.0</v>
      </c>
      <c r="E26" s="2">
        <f>_xlfn.IFERROR(C26-C25,0)</f>
        <v>0.0</v>
      </c>
      <c r="F26" s="1">
        <f>INT((A26-DATE(2020,1,22))/7)+1</f>
        <v>4.0</v>
      </c>
      <c r="G26" s="1" t="str">
        <f>"Week_"&amp;F26</f>
        <v>Week_4</v>
      </c>
    </row>
    <row r="27" spans="8:8" ht="15.1">
      <c r="A27" s="3">
        <v>43877.0</v>
      </c>
      <c r="B27" s="2">
        <v>0.0</v>
      </c>
      <c r="C27" s="2">
        <v>0.0</v>
      </c>
      <c r="D27" s="2">
        <f>_xlfn.IFERROR(B27-B26,0)</f>
        <v>0.0</v>
      </c>
      <c r="E27" s="2">
        <f>_xlfn.IFERROR(C27-C26,0)</f>
        <v>0.0</v>
      </c>
      <c r="F27" s="1">
        <f>INT((A27-DATE(2020,1,22))/7)+1</f>
        <v>4.0</v>
      </c>
      <c r="G27" s="1" t="str">
        <f>"Week_"&amp;F27</f>
        <v>Week_4</v>
      </c>
    </row>
    <row r="28" spans="8:8" ht="15.1">
      <c r="A28" s="3">
        <v>43878.0</v>
      </c>
      <c r="B28" s="2">
        <v>0.0</v>
      </c>
      <c r="C28" s="2">
        <v>0.0</v>
      </c>
      <c r="D28" s="2">
        <f>_xlfn.IFERROR(B28-B27,0)</f>
        <v>0.0</v>
      </c>
      <c r="E28" s="2">
        <f>_xlfn.IFERROR(C28-C27,0)</f>
        <v>0.0</v>
      </c>
      <c r="F28" s="1">
        <f>INT((A28-DATE(2020,1,22))/7)+1</f>
        <v>4.0</v>
      </c>
      <c r="G28" s="1" t="str">
        <f>"Week_"&amp;F28</f>
        <v>Week_4</v>
      </c>
    </row>
    <row r="29" spans="8:8" ht="15.1">
      <c r="A29" s="3">
        <v>43879.0</v>
      </c>
      <c r="B29" s="2">
        <v>0.0</v>
      </c>
      <c r="C29" s="2">
        <v>0.0</v>
      </c>
      <c r="D29" s="2">
        <f>_xlfn.IFERROR(B29-B28,0)</f>
        <v>0.0</v>
      </c>
      <c r="E29" s="2">
        <f>_xlfn.IFERROR(C29-C28,0)</f>
        <v>0.0</v>
      </c>
      <c r="F29" s="1">
        <f>INT((A29-DATE(2020,1,22))/7)+1</f>
        <v>4.0</v>
      </c>
      <c r="G29" s="1" t="str">
        <f>"Week_"&amp;F29</f>
        <v>Week_4</v>
      </c>
    </row>
    <row r="30" spans="8:8" ht="15.1">
      <c r="A30" s="3">
        <v>43880.0</v>
      </c>
      <c r="B30" s="2">
        <v>0.0</v>
      </c>
      <c r="C30" s="2">
        <v>0.0</v>
      </c>
      <c r="D30" s="2">
        <f>_xlfn.IFERROR(B30-B29,0)</f>
        <v>0.0</v>
      </c>
      <c r="E30" s="2">
        <f>_xlfn.IFERROR(C30-C29,0)</f>
        <v>0.0</v>
      </c>
      <c r="F30" s="1">
        <f>INT((A30-DATE(2020,1,22))/7)+1</f>
        <v>5.0</v>
      </c>
      <c r="G30" s="1" t="str">
        <f>"Week_"&amp;F30</f>
        <v>Week_5</v>
      </c>
    </row>
    <row r="31" spans="8:8" ht="15.1">
      <c r="A31" s="3">
        <v>43881.0</v>
      </c>
      <c r="B31" s="2">
        <v>0.0</v>
      </c>
      <c r="C31" s="2">
        <v>0.0</v>
      </c>
      <c r="D31" s="2">
        <f>_xlfn.IFERROR(B31-B30,0)</f>
        <v>0.0</v>
      </c>
      <c r="E31" s="2">
        <f>_xlfn.IFERROR(C31-C30,0)</f>
        <v>0.0</v>
      </c>
      <c r="F31" s="1">
        <f>INT((A31-DATE(2020,1,22))/7)+1</f>
        <v>5.0</v>
      </c>
      <c r="G31" s="1" t="str">
        <f>"Week_"&amp;F31</f>
        <v>Week_5</v>
      </c>
    </row>
    <row r="32" spans="8:8" ht="15.1">
      <c r="A32" s="3">
        <v>43882.0</v>
      </c>
      <c r="B32" s="2">
        <v>0.0</v>
      </c>
      <c r="C32" s="2">
        <v>0.0</v>
      </c>
      <c r="D32" s="2">
        <f>_xlfn.IFERROR(B32-B31,0)</f>
        <v>0.0</v>
      </c>
      <c r="E32" s="2">
        <f>_xlfn.IFERROR(C32-C31,0)</f>
        <v>0.0</v>
      </c>
      <c r="F32" s="1">
        <f>INT((A32-DATE(2020,1,22))/7)+1</f>
        <v>5.0</v>
      </c>
      <c r="G32" s="1" t="str">
        <f>"Week_"&amp;F32</f>
        <v>Week_5</v>
      </c>
    </row>
    <row r="33" spans="8:8" ht="15.1">
      <c r="A33" s="3">
        <v>43883.0</v>
      </c>
      <c r="B33" s="2">
        <v>0.0</v>
      </c>
      <c r="C33" s="2">
        <v>0.0</v>
      </c>
      <c r="D33" s="2">
        <f>_xlfn.IFERROR(B33-B32,0)</f>
        <v>0.0</v>
      </c>
      <c r="E33" s="2">
        <f>_xlfn.IFERROR(C33-C32,0)</f>
        <v>0.0</v>
      </c>
      <c r="F33" s="1">
        <f>INT((A33-DATE(2020,1,22))/7)+1</f>
        <v>5.0</v>
      </c>
      <c r="G33" s="1" t="str">
        <f>"Week_"&amp;F33</f>
        <v>Week_5</v>
      </c>
    </row>
    <row r="34" spans="8:8" ht="15.1">
      <c r="A34" s="3">
        <v>43884.0</v>
      </c>
      <c r="B34" s="2">
        <v>0.0</v>
      </c>
      <c r="C34" s="2">
        <v>0.0</v>
      </c>
      <c r="D34" s="2">
        <f>_xlfn.IFERROR(B34-B33,0)</f>
        <v>0.0</v>
      </c>
      <c r="E34" s="2">
        <f>_xlfn.IFERROR(C34-C33,0)</f>
        <v>0.0</v>
      </c>
      <c r="F34" s="1">
        <f>INT((A34-DATE(2020,1,22))/7)+1</f>
        <v>5.0</v>
      </c>
      <c r="G34" s="1" t="str">
        <f>"Week_"&amp;F34</f>
        <v>Week_5</v>
      </c>
    </row>
    <row r="35" spans="8:8" ht="15.1">
      <c r="A35" s="3">
        <v>43885.0</v>
      </c>
      <c r="B35" s="2">
        <v>0.0</v>
      </c>
      <c r="C35" s="2">
        <v>0.0</v>
      </c>
      <c r="D35" s="2">
        <f>_xlfn.IFERROR(B35-B34,0)</f>
        <v>0.0</v>
      </c>
      <c r="E35" s="2">
        <f>_xlfn.IFERROR(C35-C34,0)</f>
        <v>0.0</v>
      </c>
      <c r="F35" s="1">
        <f>INT((A35-DATE(2020,1,22))/7)+1</f>
        <v>5.0</v>
      </c>
      <c r="G35" s="1" t="str">
        <f>"Week_"&amp;F35</f>
        <v>Week_5</v>
      </c>
    </row>
    <row r="36" spans="8:8" ht="15.1">
      <c r="A36" s="3">
        <v>43886.0</v>
      </c>
      <c r="B36" s="2">
        <v>0.0</v>
      </c>
      <c r="C36" s="2">
        <v>0.0</v>
      </c>
      <c r="D36" s="2">
        <f>_xlfn.IFERROR(B36-B35,0)</f>
        <v>0.0</v>
      </c>
      <c r="E36" s="2">
        <f>_xlfn.IFERROR(C36-C35,0)</f>
        <v>0.0</v>
      </c>
      <c r="F36" s="1">
        <f>INT((A36-DATE(2020,1,22))/7)+1</f>
        <v>5.0</v>
      </c>
      <c r="G36" s="1" t="str">
        <f>"Week_"&amp;F36</f>
        <v>Week_5</v>
      </c>
    </row>
    <row r="37" spans="8:8" ht="15.1">
      <c r="A37" s="3">
        <v>43887.0</v>
      </c>
      <c r="B37" s="2">
        <v>0.0</v>
      </c>
      <c r="C37" s="2">
        <v>0.0</v>
      </c>
      <c r="D37" s="2">
        <f>_xlfn.IFERROR(B37-B36,0)</f>
        <v>0.0</v>
      </c>
      <c r="E37" s="2">
        <f>_xlfn.IFERROR(C37-C36,0)</f>
        <v>0.0</v>
      </c>
      <c r="F37" s="1">
        <f>INT((A37-DATE(2020,1,22))/7)+1</f>
        <v>6.0</v>
      </c>
      <c r="G37" s="1" t="str">
        <f>"Week_"&amp;F37</f>
        <v>Week_6</v>
      </c>
    </row>
    <row r="38" spans="8:8" ht="15.1">
      <c r="A38" s="3">
        <v>43888.0</v>
      </c>
      <c r="B38" s="2">
        <v>0.0</v>
      </c>
      <c r="C38" s="2">
        <v>0.0</v>
      </c>
      <c r="D38" s="2">
        <f>_xlfn.IFERROR(B38-B37,0)</f>
        <v>0.0</v>
      </c>
      <c r="E38" s="2">
        <f>_xlfn.IFERROR(C38-C37,0)</f>
        <v>0.0</v>
      </c>
      <c r="F38" s="1">
        <f>INT((A38-DATE(2020,1,22))/7)+1</f>
        <v>6.0</v>
      </c>
      <c r="G38" s="1" t="str">
        <f>"Week_"&amp;F38</f>
        <v>Week_6</v>
      </c>
    </row>
    <row r="39" spans="8:8" ht="15.1">
      <c r="A39" s="3">
        <v>43889.0</v>
      </c>
      <c r="B39" s="2">
        <v>0.0</v>
      </c>
      <c r="C39" s="2">
        <v>0.0</v>
      </c>
      <c r="D39" s="2">
        <f>_xlfn.IFERROR(B39-B38,0)</f>
        <v>0.0</v>
      </c>
      <c r="E39" s="2">
        <f>_xlfn.IFERROR(C39-C38,0)</f>
        <v>0.0</v>
      </c>
      <c r="F39" s="1">
        <f>INT((A39-DATE(2020,1,22))/7)+1</f>
        <v>6.0</v>
      </c>
      <c r="G39" s="1" t="str">
        <f>"Week_"&amp;F39</f>
        <v>Week_6</v>
      </c>
    </row>
    <row r="40" spans="8:8" ht="15.1">
      <c r="A40" s="3">
        <v>43890.0</v>
      </c>
      <c r="B40" s="2">
        <v>0.0</v>
      </c>
      <c r="C40" s="2">
        <v>0.0</v>
      </c>
      <c r="D40" s="2">
        <f>_xlfn.IFERROR(B40-B39,0)</f>
        <v>0.0</v>
      </c>
      <c r="E40" s="2">
        <f>_xlfn.IFERROR(C40-C39,0)</f>
        <v>0.0</v>
      </c>
      <c r="F40" s="1">
        <f>INT((A40-DATE(2020,1,22))/7)+1</f>
        <v>6.0</v>
      </c>
      <c r="G40" s="1" t="str">
        <f>"Week_"&amp;F40</f>
        <v>Week_6</v>
      </c>
    </row>
    <row r="41" spans="8:8" ht="15.1">
      <c r="A41" s="3">
        <v>43891.0</v>
      </c>
      <c r="B41" s="2">
        <v>0.0</v>
      </c>
      <c r="C41" s="2">
        <v>0.0</v>
      </c>
      <c r="D41" s="2">
        <f>_xlfn.IFERROR(B41-B40,0)</f>
        <v>0.0</v>
      </c>
      <c r="E41" s="2">
        <f>_xlfn.IFERROR(C41-C40,0)</f>
        <v>0.0</v>
      </c>
      <c r="F41" s="1">
        <f>INT((A41-DATE(2020,1,22))/7)+1</f>
        <v>6.0</v>
      </c>
      <c r="G41" s="1" t="str">
        <f>"Week_"&amp;F41</f>
        <v>Week_6</v>
      </c>
    </row>
    <row r="42" spans="8:8" ht="15.1">
      <c r="A42" s="3">
        <v>43892.0</v>
      </c>
      <c r="B42" s="2">
        <v>0.0</v>
      </c>
      <c r="C42" s="2">
        <v>0.0</v>
      </c>
      <c r="D42" s="2">
        <f>_xlfn.IFERROR(B42-B41,0)</f>
        <v>0.0</v>
      </c>
      <c r="E42" s="2">
        <f>_xlfn.IFERROR(C42-C41,0)</f>
        <v>0.0</v>
      </c>
      <c r="F42" s="1">
        <f>INT((A42-DATE(2020,1,22))/7)+1</f>
        <v>6.0</v>
      </c>
      <c r="G42" s="1" t="str">
        <f>"Week_"&amp;F42</f>
        <v>Week_6</v>
      </c>
    </row>
    <row r="43" spans="8:8" ht="15.1">
      <c r="A43" s="3">
        <v>43893.0</v>
      </c>
      <c r="B43" s="2">
        <v>0.0</v>
      </c>
      <c r="C43" s="2">
        <v>0.0</v>
      </c>
      <c r="D43" s="2">
        <f>_xlfn.IFERROR(B43-B42,0)</f>
        <v>0.0</v>
      </c>
      <c r="E43" s="2">
        <f>_xlfn.IFERROR(C43-C42,0)</f>
        <v>0.0</v>
      </c>
      <c r="F43" s="1">
        <f>INT((A43-DATE(2020,1,22))/7)+1</f>
        <v>6.0</v>
      </c>
      <c r="G43" s="1" t="str">
        <f>"Week_"&amp;F43</f>
        <v>Week_6</v>
      </c>
    </row>
    <row r="44" spans="8:8" ht="15.1">
      <c r="A44" s="3">
        <v>43894.0</v>
      </c>
      <c r="B44" s="2">
        <v>0.0</v>
      </c>
      <c r="C44" s="2">
        <v>0.0</v>
      </c>
      <c r="D44" s="2">
        <f>_xlfn.IFERROR(B44-B43,0)</f>
        <v>0.0</v>
      </c>
      <c r="E44" s="2">
        <f>_xlfn.IFERROR(C44-C43,0)</f>
        <v>0.0</v>
      </c>
      <c r="F44" s="1">
        <f>INT((A44-DATE(2020,1,22))/7)+1</f>
        <v>7.0</v>
      </c>
      <c r="G44" s="1" t="str">
        <f>"Week_"&amp;F44</f>
        <v>Week_7</v>
      </c>
    </row>
    <row r="45" spans="8:8" ht="15.1">
      <c r="A45" s="3">
        <v>43895.0</v>
      </c>
      <c r="B45" s="2">
        <v>0.0</v>
      </c>
      <c r="C45" s="2">
        <v>0.0</v>
      </c>
      <c r="D45" s="2">
        <f>_xlfn.IFERROR(B45-B44,0)</f>
        <v>0.0</v>
      </c>
      <c r="E45" s="2">
        <f>_xlfn.IFERROR(C45-C44,0)</f>
        <v>0.0</v>
      </c>
      <c r="F45" s="1">
        <f>INT((A45-DATE(2020,1,22))/7)+1</f>
        <v>7.0</v>
      </c>
      <c r="G45" s="1" t="str">
        <f>"Week_"&amp;F45</f>
        <v>Week_7</v>
      </c>
    </row>
    <row r="46" spans="8:8" ht="15.1">
      <c r="A46" s="3">
        <v>43896.0</v>
      </c>
      <c r="B46" s="2">
        <v>0.0</v>
      </c>
      <c r="C46" s="2">
        <v>0.0</v>
      </c>
      <c r="D46" s="2">
        <f>_xlfn.IFERROR(B46-B45,0)</f>
        <v>0.0</v>
      </c>
      <c r="E46" s="2">
        <f>_xlfn.IFERROR(C46-C45,0)</f>
        <v>0.0</v>
      </c>
      <c r="F46" s="1">
        <f>INT((A46-DATE(2020,1,22))/7)+1</f>
        <v>7.0</v>
      </c>
      <c r="G46" s="1" t="str">
        <f>"Week_"&amp;F46</f>
        <v>Week_7</v>
      </c>
    </row>
    <row r="47" spans="8:8" ht="15.1">
      <c r="A47" s="3">
        <v>43897.0</v>
      </c>
      <c r="B47" s="2">
        <v>3.0</v>
      </c>
      <c r="C47" s="2">
        <v>0.0</v>
      </c>
      <c r="D47" s="2">
        <f>_xlfn.IFERROR(B47-B46,0)</f>
        <v>3.0</v>
      </c>
      <c r="E47" s="2">
        <f>_xlfn.IFERROR(C47-C46,0)</f>
        <v>0.0</v>
      </c>
      <c r="F47" s="1">
        <f>INT((A47-DATE(2020,1,22))/7)+1</f>
        <v>7.0</v>
      </c>
      <c r="G47" s="1" t="str">
        <f>"Week_"&amp;F47</f>
        <v>Week_7</v>
      </c>
    </row>
    <row r="48" spans="8:8" ht="15.1">
      <c r="A48" s="3">
        <v>43898.0</v>
      </c>
      <c r="B48" s="2">
        <v>3.0</v>
      </c>
      <c r="C48" s="2">
        <v>0.0</v>
      </c>
      <c r="D48" s="2">
        <f>_xlfn.IFERROR(B48-B47,0)</f>
        <v>0.0</v>
      </c>
      <c r="E48" s="2">
        <f>_xlfn.IFERROR(C48-C47,0)</f>
        <v>0.0</v>
      </c>
      <c r="F48" s="1">
        <f>INT((A48-DATE(2020,1,22))/7)+1</f>
        <v>7.0</v>
      </c>
      <c r="G48" s="1" t="str">
        <f>"Week_"&amp;F48</f>
        <v>Week_7</v>
      </c>
    </row>
    <row r="49" spans="8:8" ht="15.1">
      <c r="A49" s="3">
        <v>43899.0</v>
      </c>
      <c r="B49" s="2">
        <v>3.0</v>
      </c>
      <c r="C49" s="2">
        <v>0.0</v>
      </c>
      <c r="D49" s="2">
        <f>_xlfn.IFERROR(B49-B48,0)</f>
        <v>0.0</v>
      </c>
      <c r="E49" s="2">
        <f>_xlfn.IFERROR(C49-C48,0)</f>
        <v>0.0</v>
      </c>
      <c r="F49" s="1">
        <f>INT((A49-DATE(2020,1,22))/7)+1</f>
        <v>7.0</v>
      </c>
      <c r="G49" s="1" t="str">
        <f>"Week_"&amp;F49</f>
        <v>Week_7</v>
      </c>
    </row>
    <row r="50" spans="8:8" ht="15.1">
      <c r="A50" s="3">
        <v>43900.0</v>
      </c>
      <c r="B50" s="2">
        <v>3.0</v>
      </c>
      <c r="C50" s="2">
        <v>0.0</v>
      </c>
      <c r="D50" s="2">
        <f>_xlfn.IFERROR(B50-B49,0)</f>
        <v>0.0</v>
      </c>
      <c r="E50" s="2">
        <f>_xlfn.IFERROR(C50-C49,0)</f>
        <v>0.0</v>
      </c>
      <c r="F50" s="1">
        <f>INT((A50-DATE(2020,1,22))/7)+1</f>
        <v>7.0</v>
      </c>
      <c r="G50" s="1" t="str">
        <f>"Week_"&amp;F50</f>
        <v>Week_7</v>
      </c>
    </row>
    <row r="51" spans="8:8" ht="15.1">
      <c r="A51" s="3">
        <v>43901.0</v>
      </c>
      <c r="B51" s="2">
        <v>3.0</v>
      </c>
      <c r="C51" s="2">
        <v>0.0</v>
      </c>
      <c r="D51" s="2">
        <f>_xlfn.IFERROR(B51-B50,0)</f>
        <v>0.0</v>
      </c>
      <c r="E51" s="2">
        <f>_xlfn.IFERROR(C51-C50,0)</f>
        <v>0.0</v>
      </c>
      <c r="F51" s="1">
        <f>INT((A51-DATE(2020,1,22))/7)+1</f>
        <v>8.0</v>
      </c>
      <c r="G51" s="1" t="str">
        <f>"Week_"&amp;F51</f>
        <v>Week_8</v>
      </c>
    </row>
    <row r="52" spans="8:8" ht="15.1">
      <c r="A52" s="3">
        <v>43902.0</v>
      </c>
      <c r="B52" s="2">
        <v>3.0</v>
      </c>
      <c r="C52" s="2">
        <v>0.0</v>
      </c>
      <c r="D52" s="2">
        <f>_xlfn.IFERROR(B52-B51,0)</f>
        <v>0.0</v>
      </c>
      <c r="E52" s="2">
        <f>_xlfn.IFERROR(C52-C51,0)</f>
        <v>0.0</v>
      </c>
      <c r="F52" s="1">
        <f>INT((A52-DATE(2020,1,22))/7)+1</f>
        <v>8.0</v>
      </c>
      <c r="G52" s="1" t="str">
        <f>"Week_"&amp;F52</f>
        <v>Week_8</v>
      </c>
    </row>
    <row r="53" spans="8:8" ht="15.1">
      <c r="A53" s="3">
        <v>43903.0</v>
      </c>
      <c r="B53" s="2">
        <v>3.0</v>
      </c>
      <c r="C53" s="2">
        <v>0.0</v>
      </c>
      <c r="D53" s="2">
        <f>_xlfn.IFERROR(B53-B52,0)</f>
        <v>0.0</v>
      </c>
      <c r="E53" s="2">
        <f>_xlfn.IFERROR(C53-C52,0)</f>
        <v>0.0</v>
      </c>
      <c r="F53" s="1">
        <f>INT((A53-DATE(2020,1,22))/7)+1</f>
        <v>8.0</v>
      </c>
      <c r="G53" s="1" t="str">
        <f>"Week_"&amp;F53</f>
        <v>Week_8</v>
      </c>
    </row>
    <row r="54" spans="8:8" ht="15.1">
      <c r="A54" s="3">
        <v>43904.0</v>
      </c>
      <c r="B54" s="2">
        <v>5.0</v>
      </c>
      <c r="C54" s="2">
        <v>0.0</v>
      </c>
      <c r="D54" s="2">
        <f>_xlfn.IFERROR(B54-B53,0)</f>
        <v>2.0</v>
      </c>
      <c r="E54" s="2">
        <f>_xlfn.IFERROR(C54-C53,0)</f>
        <v>0.0</v>
      </c>
      <c r="F54" s="1">
        <f>INT((A54-DATE(2020,1,22))/7)+1</f>
        <v>8.0</v>
      </c>
      <c r="G54" s="1" t="str">
        <f>"Week_"&amp;F54</f>
        <v>Week_8</v>
      </c>
    </row>
    <row r="55" spans="8:8" ht="15.1">
      <c r="A55" s="3">
        <v>43905.0</v>
      </c>
      <c r="B55" s="2">
        <v>8.0</v>
      </c>
      <c r="C55" s="2">
        <v>0.0</v>
      </c>
      <c r="D55" s="2">
        <f>_xlfn.IFERROR(B55-B54,0)</f>
        <v>3.0</v>
      </c>
      <c r="E55" s="2">
        <f>_xlfn.IFERROR(C55-C54,0)</f>
        <v>0.0</v>
      </c>
      <c r="F55" s="1">
        <f>INT((A55-DATE(2020,1,22))/7)+1</f>
        <v>8.0</v>
      </c>
      <c r="G55" s="1" t="str">
        <f>"Week_"&amp;F55</f>
        <v>Week_8</v>
      </c>
    </row>
    <row r="56" spans="8:8" ht="15.1">
      <c r="A56" s="3">
        <v>43906.0</v>
      </c>
      <c r="B56" s="2">
        <v>10.0</v>
      </c>
      <c r="C56" s="2">
        <v>0.0</v>
      </c>
      <c r="D56" s="2">
        <f>_xlfn.IFERROR(B56-B55,0)</f>
        <v>2.0</v>
      </c>
      <c r="E56" s="2">
        <f>_xlfn.IFERROR(C56-C55,0)</f>
        <v>0.0</v>
      </c>
      <c r="F56" s="1">
        <f>INT((A56-DATE(2020,1,22))/7)+1</f>
        <v>8.0</v>
      </c>
      <c r="G56" s="1" t="str">
        <f>"Week_"&amp;F56</f>
        <v>Week_8</v>
      </c>
    </row>
    <row r="57" spans="8:8" ht="15.1">
      <c r="A57" s="3">
        <v>43907.0</v>
      </c>
      <c r="B57" s="2">
        <v>14.0</v>
      </c>
      <c r="C57" s="2">
        <v>1.0</v>
      </c>
      <c r="D57" s="2">
        <f>_xlfn.IFERROR(B57-B56,0)</f>
        <v>4.0</v>
      </c>
      <c r="E57" s="2">
        <f>_xlfn.IFERROR(C57-C56,0)</f>
        <v>1.0</v>
      </c>
      <c r="F57" s="1">
        <f>INT((A57-DATE(2020,1,22))/7)+1</f>
        <v>8.0</v>
      </c>
      <c r="G57" s="1" t="str">
        <f>"Week_"&amp;F57</f>
        <v>Week_8</v>
      </c>
    </row>
    <row r="58" spans="8:8" ht="15.1">
      <c r="A58" s="3">
        <v>43908.0</v>
      </c>
      <c r="B58" s="2">
        <v>17.0</v>
      </c>
      <c r="C58" s="2">
        <v>1.0</v>
      </c>
      <c r="D58" s="2">
        <f>_xlfn.IFERROR(B58-B57,0)</f>
        <v>3.0</v>
      </c>
      <c r="E58" s="2">
        <f>_xlfn.IFERROR(C58-C57,0)</f>
        <v>0.0</v>
      </c>
      <c r="F58" s="1">
        <f>INT((A58-DATE(2020,1,22))/7)+1</f>
        <v>9.0</v>
      </c>
      <c r="G58" s="1" t="str">
        <f>"Week_"&amp;F58</f>
        <v>Week_9</v>
      </c>
    </row>
    <row r="59" spans="8:8" ht="15.1">
      <c r="A59" s="3">
        <v>43909.0</v>
      </c>
      <c r="B59" s="2">
        <v>20.0</v>
      </c>
      <c r="C59" s="2">
        <v>1.0</v>
      </c>
      <c r="D59" s="2">
        <f>_xlfn.IFERROR(B59-B58,0)</f>
        <v>3.0</v>
      </c>
      <c r="E59" s="2">
        <f>_xlfn.IFERROR(C59-C58,0)</f>
        <v>0.0</v>
      </c>
      <c r="F59" s="1">
        <f>INT((A59-DATE(2020,1,22))/7)+1</f>
        <v>9.0</v>
      </c>
      <c r="G59" s="1" t="str">
        <f>"Week_"&amp;F59</f>
        <v>Week_9</v>
      </c>
    </row>
    <row r="60" spans="8:8" ht="15.1">
      <c r="A60" s="3">
        <v>43910.0</v>
      </c>
      <c r="B60" s="2">
        <v>25.0</v>
      </c>
      <c r="C60" s="2">
        <v>2.0</v>
      </c>
      <c r="D60" s="2">
        <f>_xlfn.IFERROR(B60-B59,0)</f>
        <v>5.0</v>
      </c>
      <c r="E60" s="2">
        <f>_xlfn.IFERROR(C60-C59,0)</f>
        <v>1.0</v>
      </c>
      <c r="F60" s="1">
        <f>INT((A60-DATE(2020,1,22))/7)+1</f>
        <v>9.0</v>
      </c>
      <c r="G60" s="1" t="str">
        <f>"Week_"&amp;F60</f>
        <v>Week_9</v>
      </c>
    </row>
    <row r="61" spans="8:8" ht="15.1">
      <c r="A61" s="3">
        <v>43911.0</v>
      </c>
      <c r="B61" s="2">
        <v>27.0</v>
      </c>
      <c r="C61" s="2">
        <v>2.0</v>
      </c>
      <c r="D61" s="2">
        <f>_xlfn.IFERROR(B61-B60,0)</f>
        <v>2.0</v>
      </c>
      <c r="E61" s="2">
        <f>_xlfn.IFERROR(C61-C60,0)</f>
        <v>0.0</v>
      </c>
      <c r="F61" s="1">
        <f>INT((A61-DATE(2020,1,22))/7)+1</f>
        <v>9.0</v>
      </c>
      <c r="G61" s="1" t="str">
        <f>"Week_"&amp;F61</f>
        <v>Week_9</v>
      </c>
    </row>
    <row r="62" spans="8:8" ht="15.1">
      <c r="A62" s="3">
        <v>43912.0</v>
      </c>
      <c r="B62" s="2">
        <v>33.0</v>
      </c>
      <c r="C62" s="2">
        <v>3.0</v>
      </c>
      <c r="D62" s="2">
        <f>_xlfn.IFERROR(B62-B61,0)</f>
        <v>6.0</v>
      </c>
      <c r="E62" s="2">
        <f>_xlfn.IFERROR(C62-C61,0)</f>
        <v>1.0</v>
      </c>
      <c r="F62" s="1">
        <f>INT((A62-DATE(2020,1,22))/7)+1</f>
        <v>9.0</v>
      </c>
      <c r="G62" s="1" t="str">
        <f>"Week_"&amp;F62</f>
        <v>Week_9</v>
      </c>
    </row>
    <row r="63" spans="8:8" ht="15.1">
      <c r="A63" s="3">
        <v>43913.0</v>
      </c>
      <c r="B63" s="2">
        <v>39.0</v>
      </c>
      <c r="C63" s="2">
        <v>4.0</v>
      </c>
      <c r="D63" s="2">
        <f>_xlfn.IFERROR(B63-B62,0)</f>
        <v>6.0</v>
      </c>
      <c r="E63" s="2">
        <f>_xlfn.IFERROR(C63-C62,0)</f>
        <v>1.0</v>
      </c>
      <c r="F63" s="1">
        <f>INT((A63-DATE(2020,1,22))/7)+1</f>
        <v>9.0</v>
      </c>
      <c r="G63" s="1" t="str">
        <f>"Week_"&amp;F63</f>
        <v>Week_9</v>
      </c>
    </row>
    <row r="64" spans="8:8" ht="15.1">
      <c r="A64" s="3">
        <v>43914.0</v>
      </c>
      <c r="B64" s="2">
        <v>39.0</v>
      </c>
      <c r="C64" s="2">
        <v>5.0</v>
      </c>
      <c r="D64" s="2">
        <f>_xlfn.IFERROR(B64-B63,0)</f>
        <v>0.0</v>
      </c>
      <c r="E64" s="2">
        <f>_xlfn.IFERROR(C64-C63,0)</f>
        <v>1.0</v>
      </c>
      <c r="F64" s="1">
        <f>INT((A64-DATE(2020,1,22))/7)+1</f>
        <v>9.0</v>
      </c>
      <c r="G64" s="1" t="str">
        <f>"Week_"&amp;F64</f>
        <v>Week_9</v>
      </c>
    </row>
    <row r="65" spans="8:8" ht="15.1">
      <c r="A65" s="3">
        <v>43915.0</v>
      </c>
      <c r="B65" s="2">
        <v>44.0</v>
      </c>
      <c r="C65" s="2">
        <v>5.0</v>
      </c>
      <c r="D65" s="2">
        <f>_xlfn.IFERROR(B65-B64,0)</f>
        <v>5.0</v>
      </c>
      <c r="E65" s="2">
        <f>_xlfn.IFERROR(C65-C64,0)</f>
        <v>0.0</v>
      </c>
      <c r="F65" s="1">
        <f>INT((A65-DATE(2020,1,22))/7)+1</f>
        <v>10.0</v>
      </c>
      <c r="G65" s="1" t="str">
        <f>"Week_"&amp;F65</f>
        <v>Week_10</v>
      </c>
    </row>
    <row r="66" spans="8:8" ht="15.1">
      <c r="A66" s="3">
        <v>43916.0</v>
      </c>
      <c r="B66" s="2">
        <v>48.0</v>
      </c>
      <c r="C66" s="2">
        <v>5.0</v>
      </c>
      <c r="D66" s="2">
        <f>_xlfn.IFERROR(B66-B65,0)</f>
        <v>4.0</v>
      </c>
      <c r="E66" s="2">
        <f>_xlfn.IFERROR(C66-C65,0)</f>
        <v>0.0</v>
      </c>
      <c r="F66" s="1">
        <f>INT((A66-DATE(2020,1,22))/7)+1</f>
        <v>10.0</v>
      </c>
      <c r="G66" s="1" t="str">
        <f>"Week_"&amp;F66</f>
        <v>Week_10</v>
      </c>
    </row>
    <row r="67" spans="8:8" ht="15.1">
      <c r="A67" s="3">
        <v>43917.0</v>
      </c>
      <c r="B67" s="2">
        <v>48.0</v>
      </c>
      <c r="C67" s="2">
        <v>5.0</v>
      </c>
      <c r="D67" s="2">
        <f>_xlfn.IFERROR(B67-B66,0)</f>
        <v>0.0</v>
      </c>
      <c r="E67" s="2">
        <f>_xlfn.IFERROR(C67-C66,0)</f>
        <v>0.0</v>
      </c>
      <c r="F67" s="1">
        <f>INT((A67-DATE(2020,1,22))/7)+1</f>
        <v>10.0</v>
      </c>
      <c r="G67" s="1" t="str">
        <f>"Week_"&amp;F67</f>
        <v>Week_10</v>
      </c>
    </row>
    <row r="68" spans="8:8" ht="15.1">
      <c r="A68" s="3">
        <v>43918.0</v>
      </c>
      <c r="B68" s="2">
        <v>48.0</v>
      </c>
      <c r="C68" s="2">
        <v>5.0</v>
      </c>
      <c r="D68" s="2">
        <f>_xlfn.IFERROR(B68-B67,0)</f>
        <v>0.0</v>
      </c>
      <c r="E68" s="2">
        <f>_xlfn.IFERROR(C68-C67,0)</f>
        <v>0.0</v>
      </c>
      <c r="F68" s="1">
        <f>INT((A68-DATE(2020,1,22))/7)+1</f>
        <v>10.0</v>
      </c>
      <c r="G68" s="1" t="str">
        <f>"Week_"&amp;F68</f>
        <v>Week_10</v>
      </c>
    </row>
    <row r="69" spans="8:8" ht="15.1">
      <c r="A69" s="3">
        <v>43919.0</v>
      </c>
      <c r="B69" s="2">
        <v>49.0</v>
      </c>
      <c r="C69" s="2">
        <v>5.0</v>
      </c>
      <c r="D69" s="2">
        <f>_xlfn.IFERROR(B69-B68,0)</f>
        <v>1.0</v>
      </c>
      <c r="E69" s="2">
        <f>_xlfn.IFERROR(C69-C68,0)</f>
        <v>0.0</v>
      </c>
      <c r="F69" s="1">
        <f>INT((A69-DATE(2020,1,22))/7)+1</f>
        <v>10.0</v>
      </c>
      <c r="G69" s="1" t="str">
        <f>"Week_"&amp;F69</f>
        <v>Week_10</v>
      </c>
    </row>
    <row r="70" spans="8:8" ht="15.1">
      <c r="A70" s="3">
        <v>43920.0</v>
      </c>
      <c r="B70" s="2">
        <v>51.0</v>
      </c>
      <c r="C70" s="2">
        <v>5.0</v>
      </c>
      <c r="D70" s="2">
        <f>_xlfn.IFERROR(B70-B69,0)</f>
        <v>2.0</v>
      </c>
      <c r="E70" s="2">
        <f>_xlfn.IFERROR(C70-C69,0)</f>
        <v>0.0</v>
      </c>
      <c r="F70" s="1">
        <f>INT((A70-DATE(2020,1,22))/7)+1</f>
        <v>10.0</v>
      </c>
      <c r="G70" s="1" t="str">
        <f>"Week_"&amp;F70</f>
        <v>Week_10</v>
      </c>
    </row>
    <row r="71" spans="8:8" ht="15.1">
      <c r="A71" s="3">
        <v>43921.0</v>
      </c>
      <c r="B71" s="2">
        <v>54.0</v>
      </c>
      <c r="C71" s="2">
        <v>6.0</v>
      </c>
      <c r="D71" s="2">
        <f>_xlfn.IFERROR(B71-B70,0)</f>
        <v>3.0</v>
      </c>
      <c r="E71" s="2">
        <f>_xlfn.IFERROR(C71-C70,0)</f>
        <v>1.0</v>
      </c>
      <c r="F71" s="1">
        <f>INT((A71-DATE(2020,1,22))/7)+1</f>
        <v>10.0</v>
      </c>
      <c r="G71" s="1" t="str">
        <f>"Week_"&amp;F71</f>
        <v>Week_10</v>
      </c>
    </row>
    <row r="72" spans="8:8" ht="15.1">
      <c r="A72" s="3">
        <v>43922.0</v>
      </c>
      <c r="B72" s="2">
        <v>56.0</v>
      </c>
      <c r="C72" s="2">
        <v>6.0</v>
      </c>
      <c r="D72" s="2">
        <f>_xlfn.IFERROR(B72-B71,0)</f>
        <v>2.0</v>
      </c>
      <c r="E72" s="2">
        <f>_xlfn.IFERROR(C72-C71,0)</f>
        <v>0.0</v>
      </c>
      <c r="F72" s="1">
        <f>INT((A72-DATE(2020,1,22))/7)+1</f>
        <v>11.0</v>
      </c>
      <c r="G72" s="1" t="str">
        <f>"Week_"&amp;F72</f>
        <v>Week_11</v>
      </c>
    </row>
    <row r="73" spans="8:8" ht="15.1">
      <c r="A73" s="3">
        <v>43923.0</v>
      </c>
      <c r="B73" s="2">
        <v>61.0</v>
      </c>
      <c r="C73" s="2">
        <v>6.0</v>
      </c>
      <c r="D73" s="2">
        <f>_xlfn.IFERROR(B73-B72,0)</f>
        <v>5.0</v>
      </c>
      <c r="E73" s="2">
        <f>_xlfn.IFERROR(C73-C72,0)</f>
        <v>0.0</v>
      </c>
      <c r="F73" s="1">
        <f>INT((A73-DATE(2020,1,22))/7)+1</f>
        <v>11.0</v>
      </c>
      <c r="G73" s="1" t="str">
        <f>"Week_"&amp;F73</f>
        <v>Week_11</v>
      </c>
    </row>
    <row r="74" spans="8:8" ht="15.1">
      <c r="A74" s="3">
        <v>43924.0</v>
      </c>
      <c r="B74" s="2">
        <v>70.0</v>
      </c>
      <c r="C74" s="2">
        <v>8.0</v>
      </c>
      <c r="D74" s="2">
        <f>_xlfn.IFERROR(B74-B73,0)</f>
        <v>9.0</v>
      </c>
      <c r="E74" s="2">
        <f>_xlfn.IFERROR(C74-C73,0)</f>
        <v>2.0</v>
      </c>
      <c r="F74" s="1">
        <f>INT((A74-DATE(2020,1,22))/7)+1</f>
        <v>11.0</v>
      </c>
      <c r="G74" s="1" t="str">
        <f>"Week_"&amp;F74</f>
        <v>Week_11</v>
      </c>
    </row>
    <row r="75" spans="8:8" ht="15.1">
      <c r="A75" s="3">
        <v>43925.0</v>
      </c>
      <c r="B75" s="2">
        <v>88.0</v>
      </c>
      <c r="C75" s="2">
        <v>9.0</v>
      </c>
      <c r="D75" s="2">
        <f>_xlfn.IFERROR(B75-B74,0)</f>
        <v>18.0</v>
      </c>
      <c r="E75" s="2">
        <f>_xlfn.IFERROR(C75-C74,0)</f>
        <v>1.0</v>
      </c>
      <c r="F75" s="1">
        <f>INT((A75-DATE(2020,1,22))/7)+1</f>
        <v>11.0</v>
      </c>
      <c r="G75" s="1" t="str">
        <f>"Week_"&amp;F75</f>
        <v>Week_11</v>
      </c>
    </row>
    <row r="76" spans="8:8" ht="15.1">
      <c r="A76" s="3">
        <v>43926.0</v>
      </c>
      <c r="B76" s="2">
        <v>123.0</v>
      </c>
      <c r="C76" s="2">
        <v>12.0</v>
      </c>
      <c r="D76" s="2">
        <f>_xlfn.IFERROR(B76-B75,0)</f>
        <v>35.0</v>
      </c>
      <c r="E76" s="2">
        <f>_xlfn.IFERROR(C76-C75,0)</f>
        <v>3.0</v>
      </c>
      <c r="F76" s="1">
        <f>INT((A76-DATE(2020,1,22))/7)+1</f>
        <v>11.0</v>
      </c>
      <c r="G76" s="1" t="str">
        <f>"Week_"&amp;F76</f>
        <v>Week_11</v>
      </c>
    </row>
    <row r="77" spans="8:8" ht="15.1">
      <c r="A77" s="3">
        <v>43927.0</v>
      </c>
      <c r="B77" s="2">
        <v>164.0</v>
      </c>
      <c r="C77" s="2">
        <v>17.0</v>
      </c>
      <c r="D77" s="2">
        <f>_xlfn.IFERROR(B77-B76,0)</f>
        <v>41.0</v>
      </c>
      <c r="E77" s="2">
        <f>_xlfn.IFERROR(C77-C76,0)</f>
        <v>5.0</v>
      </c>
      <c r="F77" s="1">
        <f>INT((A77-DATE(2020,1,22))/7)+1</f>
        <v>11.0</v>
      </c>
      <c r="G77" s="1" t="str">
        <f>"Week_"&amp;F77</f>
        <v>Week_11</v>
      </c>
    </row>
    <row r="78" spans="8:8" ht="15.1">
      <c r="A78" s="3">
        <v>43928.0</v>
      </c>
      <c r="B78" s="2">
        <v>218.0</v>
      </c>
      <c r="C78" s="2">
        <v>20.0</v>
      </c>
      <c r="D78" s="2">
        <f>_xlfn.IFERROR(B78-B77,0)</f>
        <v>54.0</v>
      </c>
      <c r="E78" s="2">
        <f>_xlfn.IFERROR(C78-C77,0)</f>
        <v>3.0</v>
      </c>
      <c r="F78" s="1">
        <f>INT((A78-DATE(2020,1,22))/7)+1</f>
        <v>11.0</v>
      </c>
      <c r="G78" s="1" t="str">
        <f>"Week_"&amp;F78</f>
        <v>Week_11</v>
      </c>
    </row>
    <row r="79" spans="8:8" ht="15.1">
      <c r="A79" s="3">
        <v>43929.0</v>
      </c>
      <c r="B79" s="2">
        <v>330.0</v>
      </c>
      <c r="C79" s="2">
        <v>21.0</v>
      </c>
      <c r="D79" s="2">
        <f>_xlfn.IFERROR(B79-B78,0)</f>
        <v>112.0</v>
      </c>
      <c r="E79" s="2">
        <f>_xlfn.IFERROR(C79-C78,0)</f>
        <v>1.0</v>
      </c>
      <c r="F79" s="1">
        <f>INT((A79-DATE(2020,1,22))/7)+1</f>
        <v>12.0</v>
      </c>
      <c r="G79" s="1" t="str">
        <f>"Week_"&amp;F79</f>
        <v>Week_12</v>
      </c>
    </row>
    <row r="80" spans="8:8" ht="15.1">
      <c r="A80" s="3">
        <v>43930.0</v>
      </c>
      <c r="B80" s="2">
        <v>424.0</v>
      </c>
      <c r="C80" s="2">
        <v>27.0</v>
      </c>
      <c r="D80" s="2">
        <f>_xlfn.IFERROR(B80-B79,0)</f>
        <v>94.0</v>
      </c>
      <c r="E80" s="2">
        <f>_xlfn.IFERROR(C80-C79,0)</f>
        <v>6.0</v>
      </c>
      <c r="F80" s="1">
        <f>INT((A80-DATE(2020,1,22))/7)+1</f>
        <v>12.0</v>
      </c>
      <c r="G80" s="1" t="str">
        <f>"Week_"&amp;F80</f>
        <v>Week_12</v>
      </c>
    </row>
    <row r="81" spans="8:8" ht="15.1">
      <c r="A81" s="3">
        <v>43931.0</v>
      </c>
      <c r="B81" s="2">
        <v>482.0</v>
      </c>
      <c r="C81" s="2">
        <v>30.0</v>
      </c>
      <c r="D81" s="2">
        <f>_xlfn.IFERROR(B81-B80,0)</f>
        <v>58.0</v>
      </c>
      <c r="E81" s="2">
        <f>_xlfn.IFERROR(C81-C80,0)</f>
        <v>3.0</v>
      </c>
      <c r="F81" s="1">
        <f>INT((A81-DATE(2020,1,22))/7)+1</f>
        <v>12.0</v>
      </c>
      <c r="G81" s="1" t="str">
        <f>"Week_"&amp;F81</f>
        <v>Week_12</v>
      </c>
    </row>
    <row r="82" spans="8:8" ht="15.1">
      <c r="A82" s="3">
        <v>43932.0</v>
      </c>
      <c r="B82" s="2">
        <v>621.0</v>
      </c>
      <c r="C82" s="2">
        <v>34.0</v>
      </c>
      <c r="D82" s="2">
        <f>_xlfn.IFERROR(B82-B81,0)</f>
        <v>139.0</v>
      </c>
      <c r="E82" s="2">
        <f>_xlfn.IFERROR(C82-C81,0)</f>
        <v>4.0</v>
      </c>
      <c r="F82" s="1">
        <f>INT((A82-DATE(2020,1,22))/7)+1</f>
        <v>12.0</v>
      </c>
      <c r="G82" s="1" t="str">
        <f>"Week_"&amp;F82</f>
        <v>Week_12</v>
      </c>
    </row>
    <row r="83" spans="8:8" ht="15.1">
      <c r="A83" s="3">
        <v>43933.0</v>
      </c>
      <c r="B83" s="2">
        <v>803.0</v>
      </c>
      <c r="C83" s="2">
        <v>39.0</v>
      </c>
      <c r="D83" s="2">
        <f>_xlfn.IFERROR(B83-B82,0)</f>
        <v>182.0</v>
      </c>
      <c r="E83" s="2">
        <f>_xlfn.IFERROR(C83-C82,0)</f>
        <v>5.0</v>
      </c>
      <c r="F83" s="1">
        <f>INT((A83-DATE(2020,1,22))/7)+1</f>
        <v>12.0</v>
      </c>
      <c r="G83" s="1" t="str">
        <f>"Week_"&amp;F83</f>
        <v>Week_12</v>
      </c>
    </row>
    <row r="84" spans="8:8" ht="15.1">
      <c r="A84" s="3">
        <v>43934.0</v>
      </c>
      <c r="B84" s="2">
        <v>1012.0</v>
      </c>
      <c r="C84" s="2">
        <v>46.0</v>
      </c>
      <c r="D84" s="2">
        <f>_xlfn.IFERROR(B84-B83,0)</f>
        <v>209.0</v>
      </c>
      <c r="E84" s="2">
        <f>_xlfn.IFERROR(C84-C83,0)</f>
        <v>7.0</v>
      </c>
      <c r="F84" s="1">
        <f>INT((A84-DATE(2020,1,22))/7)+1</f>
        <v>12.0</v>
      </c>
      <c r="G84" s="1" t="str">
        <f>"Week_"&amp;F84</f>
        <v>Week_12</v>
      </c>
    </row>
    <row r="85" spans="8:8" ht="15.1">
      <c r="A85" s="3">
        <v>43935.0</v>
      </c>
      <c r="B85" s="2">
        <v>1231.0</v>
      </c>
      <c r="C85" s="2">
        <v>50.0</v>
      </c>
      <c r="D85" s="2">
        <f>_xlfn.IFERROR(B85-B84,0)</f>
        <v>219.0</v>
      </c>
      <c r="E85" s="2">
        <f>_xlfn.IFERROR(C85-C84,0)</f>
        <v>4.0</v>
      </c>
      <c r="F85" s="1">
        <f>INT((A85-DATE(2020,1,22))/7)+1</f>
        <v>12.0</v>
      </c>
      <c r="G85" s="1" t="str">
        <f>"Week_"&amp;F85</f>
        <v>Week_12</v>
      </c>
    </row>
    <row r="86" spans="8:8" ht="15.1">
      <c r="A86" s="3">
        <v>43936.0</v>
      </c>
      <c r="B86" s="2">
        <v>1572.0</v>
      </c>
      <c r="C86" s="2">
        <v>60.0</v>
      </c>
      <c r="D86" s="2">
        <f>_xlfn.IFERROR(B86-B85,0)</f>
        <v>341.0</v>
      </c>
      <c r="E86" s="2">
        <f>_xlfn.IFERROR(C86-C85,0)</f>
        <v>10.0</v>
      </c>
      <c r="F86" s="1">
        <f>INT((A86-DATE(2020,1,22))/7)+1</f>
        <v>13.0</v>
      </c>
      <c r="G86" s="1" t="str">
        <f>"Week_"&amp;F86</f>
        <v>Week_13</v>
      </c>
    </row>
    <row r="87" spans="8:8" ht="15.1">
      <c r="A87" s="3">
        <v>43937.0</v>
      </c>
      <c r="B87" s="2">
        <v>1838.0</v>
      </c>
      <c r="C87" s="2">
        <v>75.0</v>
      </c>
      <c r="D87" s="2">
        <f>_xlfn.IFERROR(B87-B86,0)</f>
        <v>266.0</v>
      </c>
      <c r="E87" s="2">
        <f>_xlfn.IFERROR(C87-C86,0)</f>
        <v>15.0</v>
      </c>
      <c r="F87" s="1">
        <f>INT((A87-DATE(2020,1,22))/7)+1</f>
        <v>13.0</v>
      </c>
      <c r="G87" s="1" t="str">
        <f>"Week_"&amp;F87</f>
        <v>Week_13</v>
      </c>
    </row>
    <row r="88" spans="8:8" ht="15.1">
      <c r="A88" s="3">
        <v>43938.0</v>
      </c>
      <c r="B88" s="2">
        <v>2144.0</v>
      </c>
      <c r="C88" s="2">
        <v>84.0</v>
      </c>
      <c r="D88" s="2">
        <f>_xlfn.IFERROR(B88-B87,0)</f>
        <v>306.0</v>
      </c>
      <c r="E88" s="2">
        <f>_xlfn.IFERROR(C88-C87,0)</f>
        <v>9.0</v>
      </c>
      <c r="F88" s="1">
        <f>INT((A88-DATE(2020,1,22))/7)+1</f>
        <v>13.0</v>
      </c>
      <c r="G88" s="1" t="str">
        <f>"Week_"&amp;F88</f>
        <v>Week_13</v>
      </c>
    </row>
    <row r="89" spans="8:8" ht="15.1">
      <c r="A89" s="3">
        <v>43939.0</v>
      </c>
      <c r="B89" s="2">
        <v>2456.0</v>
      </c>
      <c r="C89" s="2">
        <v>91.0</v>
      </c>
      <c r="D89" s="2">
        <f>_xlfn.IFERROR(B89-B88,0)</f>
        <v>312.0</v>
      </c>
      <c r="E89" s="2">
        <f>_xlfn.IFERROR(C89-C88,0)</f>
        <v>7.0</v>
      </c>
      <c r="F89" s="1">
        <f>INT((A89-DATE(2020,1,22))/7)+1</f>
        <v>13.0</v>
      </c>
      <c r="G89" s="1" t="str">
        <f>"Week_"&amp;F89</f>
        <v>Week_13</v>
      </c>
    </row>
    <row r="90" spans="8:8" ht="15.1">
      <c r="A90" s="3">
        <v>43940.0</v>
      </c>
      <c r="B90" s="2">
        <v>2948.0</v>
      </c>
      <c r="C90" s="2">
        <v>101.0</v>
      </c>
      <c r="D90" s="2">
        <f>_xlfn.IFERROR(B90-B89,0)</f>
        <v>492.0</v>
      </c>
      <c r="E90" s="2">
        <f>_xlfn.IFERROR(C90-C89,0)</f>
        <v>10.0</v>
      </c>
      <c r="F90" s="1">
        <f>INT((A90-DATE(2020,1,22))/7)+1</f>
        <v>13.0</v>
      </c>
      <c r="G90" s="1" t="str">
        <f>"Week_"&amp;F90</f>
        <v>Week_13</v>
      </c>
    </row>
    <row r="91" spans="8:8" ht="15.1">
      <c r="A91" s="3">
        <v>43941.0</v>
      </c>
      <c r="B91" s="2">
        <v>3382.0</v>
      </c>
      <c r="C91" s="2">
        <v>110.0</v>
      </c>
      <c r="D91" s="2">
        <f>_xlfn.IFERROR(B91-B90,0)</f>
        <v>434.0</v>
      </c>
      <c r="E91" s="2">
        <f>_xlfn.IFERROR(C91-C90,0)</f>
        <v>9.0</v>
      </c>
      <c r="F91" s="1">
        <f>INT((A91-DATE(2020,1,22))/7)+1</f>
        <v>13.0</v>
      </c>
      <c r="G91" s="1" t="str">
        <f>"Week_"&amp;F91</f>
        <v>Week_13</v>
      </c>
    </row>
    <row r="92" spans="8:8" ht="15.1">
      <c r="A92" s="3">
        <v>43942.0</v>
      </c>
      <c r="B92" s="2">
        <v>3772.0</v>
      </c>
      <c r="C92" s="2">
        <v>120.0</v>
      </c>
      <c r="D92" s="2">
        <f>_xlfn.IFERROR(B92-B91,0)</f>
        <v>390.0</v>
      </c>
      <c r="E92" s="2">
        <f>_xlfn.IFERROR(C92-C91,0)</f>
        <v>10.0</v>
      </c>
      <c r="F92" s="1">
        <f>INT((A92-DATE(2020,1,22))/7)+1</f>
        <v>13.0</v>
      </c>
      <c r="G92" s="1" t="str">
        <f>"Week_"&amp;F92</f>
        <v>Week_13</v>
      </c>
    </row>
    <row r="93" spans="8:8" ht="15.1">
      <c r="A93" s="3">
        <v>43943.0</v>
      </c>
      <c r="B93" s="2">
        <v>4186.0</v>
      </c>
      <c r="C93" s="2">
        <v>127.0</v>
      </c>
      <c r="D93" s="2">
        <f>_xlfn.IFERROR(B93-B92,0)</f>
        <v>414.0</v>
      </c>
      <c r="E93" s="2">
        <f>_xlfn.IFERROR(C93-C92,0)</f>
        <v>7.0</v>
      </c>
      <c r="F93" s="1">
        <f>INT((A93-DATE(2020,1,22))/7)+1</f>
        <v>14.0</v>
      </c>
      <c r="G93" s="1" t="str">
        <f>"Week_"&amp;F93</f>
        <v>Week_14</v>
      </c>
    </row>
    <row r="94" spans="8:8" ht="15.1">
      <c r="A94" s="3">
        <v>43944.0</v>
      </c>
      <c r="B94" s="2">
        <v>4689.0</v>
      </c>
      <c r="C94" s="2">
        <v>131.0</v>
      </c>
      <c r="D94" s="2">
        <f>_xlfn.IFERROR(B94-B93,0)</f>
        <v>503.0</v>
      </c>
      <c r="E94" s="2">
        <f>_xlfn.IFERROR(C94-C93,0)</f>
        <v>4.0</v>
      </c>
      <c r="F94" s="1">
        <f>INT((A94-DATE(2020,1,22))/7)+1</f>
        <v>14.0</v>
      </c>
      <c r="G94" s="1" t="str">
        <f>"Week_"&amp;F94</f>
        <v>Week_14</v>
      </c>
    </row>
    <row r="95" spans="8:8" ht="15.1">
      <c r="A95" s="3">
        <v>43945.0</v>
      </c>
      <c r="B95" s="2">
        <v>4998.0</v>
      </c>
      <c r="C95" s="2">
        <v>140.0</v>
      </c>
      <c r="D95" s="2">
        <f>_xlfn.IFERROR(B95-B94,0)</f>
        <v>309.0</v>
      </c>
      <c r="E95" s="2">
        <f>_xlfn.IFERROR(C95-C94,0)</f>
        <v>9.0</v>
      </c>
      <c r="F95" s="1">
        <f>INT((A95-DATE(2020,1,22))/7)+1</f>
        <v>14.0</v>
      </c>
      <c r="G95" s="1" t="str">
        <f>"Week_"&amp;F95</f>
        <v>Week_14</v>
      </c>
    </row>
    <row r="96" spans="8:8" ht="15.1">
      <c r="A96" s="3">
        <v>43946.0</v>
      </c>
      <c r="B96" s="2">
        <v>5416.0</v>
      </c>
      <c r="C96" s="2">
        <v>145.0</v>
      </c>
      <c r="D96" s="2">
        <f>_xlfn.IFERROR(B96-B95,0)</f>
        <v>418.0</v>
      </c>
      <c r="E96" s="2">
        <f>_xlfn.IFERROR(C96-C95,0)</f>
        <v>5.0</v>
      </c>
      <c r="F96" s="1">
        <f>INT((A96-DATE(2020,1,22))/7)+1</f>
        <v>14.0</v>
      </c>
      <c r="G96" s="1" t="str">
        <f>"Week_"&amp;F96</f>
        <v>Week_14</v>
      </c>
    </row>
    <row r="97" spans="8:8" ht="15.1">
      <c r="A97" s="3">
        <v>43947.0</v>
      </c>
      <c r="B97" s="2">
        <v>5913.0</v>
      </c>
      <c r="C97" s="2">
        <v>152.0</v>
      </c>
      <c r="D97" s="2">
        <f>_xlfn.IFERROR(B97-B96,0)</f>
        <v>497.0</v>
      </c>
      <c r="E97" s="2">
        <f>_xlfn.IFERROR(C97-C96,0)</f>
        <v>7.0</v>
      </c>
      <c r="F97" s="1">
        <f>INT((A97-DATE(2020,1,22))/7)+1</f>
        <v>14.0</v>
      </c>
      <c r="G97" s="1" t="str">
        <f>"Week_"&amp;F97</f>
        <v>Week_14</v>
      </c>
    </row>
    <row r="98" spans="8:8" ht="15.1">
      <c r="A98" s="3">
        <v>43948.0</v>
      </c>
      <c r="B98" s="2">
        <v>6462.0</v>
      </c>
      <c r="C98" s="2">
        <v>155.0</v>
      </c>
      <c r="D98" s="2">
        <f>_xlfn.IFERROR(B98-B97,0)</f>
        <v>549.0</v>
      </c>
      <c r="E98" s="2">
        <f>_xlfn.IFERROR(C98-C97,0)</f>
        <v>3.0</v>
      </c>
      <c r="F98" s="1">
        <f>INT((A98-DATE(2020,1,22))/7)+1</f>
        <v>14.0</v>
      </c>
      <c r="G98" s="1" t="str">
        <f>"Week_"&amp;F98</f>
        <v>Week_14</v>
      </c>
    </row>
    <row r="99" spans="8:8" ht="15.1">
      <c r="A99" s="3">
        <v>43949.0</v>
      </c>
      <c r="B99" s="2">
        <v>7103.0</v>
      </c>
      <c r="C99" s="2">
        <v>163.0</v>
      </c>
      <c r="D99" s="2">
        <f>_xlfn.IFERROR(B99-B98,0)</f>
        <v>641.0</v>
      </c>
      <c r="E99" s="2">
        <f>_xlfn.IFERROR(C99-C98,0)</f>
        <v>8.0</v>
      </c>
      <c r="F99" s="1">
        <f>INT((A99-DATE(2020,1,22))/7)+1</f>
        <v>14.0</v>
      </c>
      <c r="G99" s="1" t="str">
        <f>"Week_"&amp;F99</f>
        <v>Week_14</v>
      </c>
    </row>
    <row r="100" spans="8:8" ht="15.1">
      <c r="A100" s="3">
        <v>43950.0</v>
      </c>
      <c r="B100" s="2">
        <v>7667.0</v>
      </c>
      <c r="C100" s="2">
        <v>168.0</v>
      </c>
      <c r="D100" s="2">
        <f>_xlfn.IFERROR(B100-B99,0)</f>
        <v>564.0</v>
      </c>
      <c r="E100" s="2">
        <f>_xlfn.IFERROR(C100-C99,0)</f>
        <v>5.0</v>
      </c>
      <c r="F100" s="1">
        <f>INT((A100-DATE(2020,1,22))/7)+1</f>
        <v>15.0</v>
      </c>
      <c r="G100" s="1" t="str">
        <f>"Week_"&amp;F100</f>
        <v>Week_15</v>
      </c>
    </row>
    <row r="101" spans="8:8" ht="15.1">
      <c r="A101" s="3">
        <v>43951.0</v>
      </c>
      <c r="B101" s="2">
        <v>8238.0</v>
      </c>
      <c r="C101" s="2">
        <v>170.0</v>
      </c>
      <c r="D101" s="2">
        <f>_xlfn.IFERROR(B101-B100,0)</f>
        <v>571.0</v>
      </c>
      <c r="E101" s="2">
        <f>_xlfn.IFERROR(C101-C100,0)</f>
        <v>2.0</v>
      </c>
      <c r="F101" s="1">
        <f>INT((A101-DATE(2020,1,22))/7)+1</f>
        <v>15.0</v>
      </c>
      <c r="G101" s="1" t="str">
        <f>"Week_"&amp;F101</f>
        <v>Week_15</v>
      </c>
    </row>
    <row r="102" spans="8:8" ht="15.1">
      <c r="A102" s="3">
        <v>43952.0</v>
      </c>
      <c r="B102" s="2">
        <v>8790.0</v>
      </c>
      <c r="C102" s="2">
        <v>175.0</v>
      </c>
      <c r="D102" s="2">
        <f>_xlfn.IFERROR(B102-B101,0)</f>
        <v>552.0</v>
      </c>
      <c r="E102" s="2">
        <f>_xlfn.IFERROR(C102-C101,0)</f>
        <v>5.0</v>
      </c>
      <c r="F102" s="1">
        <f>INT((A102-DATE(2020,1,22))/7)+1</f>
        <v>15.0</v>
      </c>
      <c r="G102" s="1" t="str">
        <f>"Week_"&amp;F102</f>
        <v>Week_15</v>
      </c>
    </row>
    <row r="103" spans="8:8" ht="15.1">
      <c r="A103" s="3">
        <v>43953.0</v>
      </c>
      <c r="B103" s="2">
        <v>9455.0</v>
      </c>
      <c r="C103" s="2">
        <v>177.0</v>
      </c>
      <c r="D103" s="2">
        <f>_xlfn.IFERROR(B103-B102,0)</f>
        <v>665.0</v>
      </c>
      <c r="E103" s="2">
        <f>_xlfn.IFERROR(C103-C102,0)</f>
        <v>2.0</v>
      </c>
      <c r="F103" s="1">
        <f>INT((A103-DATE(2020,1,22))/7)+1</f>
        <v>15.0</v>
      </c>
      <c r="G103" s="1" t="str">
        <f>"Week_"&amp;F103</f>
        <v>Week_15</v>
      </c>
    </row>
    <row r="104" spans="8:8" ht="15.1">
      <c r="A104" s="3">
        <v>43954.0</v>
      </c>
      <c r="B104" s="2">
        <v>10143.0</v>
      </c>
      <c r="C104" s="2">
        <v>182.0</v>
      </c>
      <c r="D104" s="2">
        <f>_xlfn.IFERROR(B104-B103,0)</f>
        <v>688.0</v>
      </c>
      <c r="E104" s="2">
        <f>_xlfn.IFERROR(C104-C103,0)</f>
        <v>5.0</v>
      </c>
      <c r="F104" s="1">
        <f>INT((A104-DATE(2020,1,22))/7)+1</f>
        <v>15.0</v>
      </c>
      <c r="G104" s="1" t="str">
        <f>"Week_"&amp;F104</f>
        <v>Week_15</v>
      </c>
    </row>
    <row r="105" spans="8:8" ht="15.1">
      <c r="A105" s="3">
        <v>43955.0</v>
      </c>
      <c r="B105" s="2">
        <v>10929.0</v>
      </c>
      <c r="C105" s="2">
        <v>183.0</v>
      </c>
      <c r="D105" s="2">
        <f>_xlfn.IFERROR(B105-B104,0)</f>
        <v>786.0</v>
      </c>
      <c r="E105" s="2">
        <f>_xlfn.IFERROR(C105-C104,0)</f>
        <v>1.0</v>
      </c>
      <c r="F105" s="1">
        <f>INT((A105-DATE(2020,1,22))/7)+1</f>
        <v>15.0</v>
      </c>
      <c r="G105" s="1" t="str">
        <f>"Week_"&amp;F105</f>
        <v>Week_15</v>
      </c>
    </row>
    <row r="106" spans="8:8" ht="15.1">
      <c r="A106" s="3">
        <v>43956.0</v>
      </c>
      <c r="B106" s="2">
        <v>11719.0</v>
      </c>
      <c r="C106" s="2">
        <v>186.0</v>
      </c>
      <c r="D106" s="2">
        <f>_xlfn.IFERROR(B106-B105,0)</f>
        <v>790.0</v>
      </c>
      <c r="E106" s="2">
        <f>_xlfn.IFERROR(C106-C105,0)</f>
        <v>3.0</v>
      </c>
      <c r="F106" s="1">
        <f>INT((A106-DATE(2020,1,22))/7)+1</f>
        <v>15.0</v>
      </c>
      <c r="G106" s="1" t="str">
        <f>"Week_"&amp;F106</f>
        <v>Week_15</v>
      </c>
    </row>
    <row r="107" spans="8:8" ht="15.1">
      <c r="A107" s="3">
        <v>43957.0</v>
      </c>
      <c r="B107" s="2">
        <v>12425.0</v>
      </c>
      <c r="C107" s="2">
        <v>199.0</v>
      </c>
      <c r="D107" s="2">
        <f>_xlfn.IFERROR(B107-B106,0)</f>
        <v>706.0</v>
      </c>
      <c r="E107" s="2">
        <f>_xlfn.IFERROR(C107-C106,0)</f>
        <v>13.0</v>
      </c>
      <c r="F107" s="1">
        <f>INT((A107-DATE(2020,1,22))/7)+1</f>
        <v>16.0</v>
      </c>
      <c r="G107" s="1" t="str">
        <f>"Week_"&amp;F107</f>
        <v>Week_16</v>
      </c>
    </row>
    <row r="108" spans="8:8" ht="15.1">
      <c r="A108" s="3">
        <v>43958.0</v>
      </c>
      <c r="B108" s="2">
        <v>13134.0</v>
      </c>
      <c r="C108" s="2">
        <v>206.0</v>
      </c>
      <c r="D108" s="2">
        <f>_xlfn.IFERROR(B108-B107,0)</f>
        <v>709.0</v>
      </c>
      <c r="E108" s="2">
        <f>_xlfn.IFERROR(C108-C107,0)</f>
        <v>7.0</v>
      </c>
      <c r="F108" s="1">
        <f>INT((A108-DATE(2020,1,22))/7)+1</f>
        <v>16.0</v>
      </c>
      <c r="G108" s="1" t="str">
        <f>"Week_"&amp;F108</f>
        <v>Week_16</v>
      </c>
    </row>
    <row r="109" spans="8:8" ht="15.1">
      <c r="A109" s="3">
        <v>43959.0</v>
      </c>
      <c r="B109" s="2">
        <v>13770.0</v>
      </c>
      <c r="C109" s="2">
        <v>214.0</v>
      </c>
      <c r="D109" s="2">
        <f>_xlfn.IFERROR(B109-B108,0)</f>
        <v>636.0</v>
      </c>
      <c r="E109" s="2">
        <f>_xlfn.IFERROR(C109-C108,0)</f>
        <v>8.0</v>
      </c>
      <c r="F109" s="1">
        <f>INT((A109-DATE(2020,1,22))/7)+1</f>
        <v>16.0</v>
      </c>
      <c r="G109" s="1" t="str">
        <f>"Week_"&amp;F109</f>
        <v>Week_16</v>
      </c>
    </row>
    <row r="110" spans="8:8" ht="15.1">
      <c r="A110" s="3">
        <v>43960.0</v>
      </c>
      <c r="B110" s="2">
        <v>14657.0</v>
      </c>
      <c r="C110" s="2">
        <v>228.0</v>
      </c>
      <c r="D110" s="2">
        <f>_xlfn.IFERROR(B110-B109,0)</f>
        <v>887.0</v>
      </c>
      <c r="E110" s="2">
        <f>_xlfn.IFERROR(C110-C109,0)</f>
        <v>14.0</v>
      </c>
      <c r="F110" s="1">
        <f>INT((A110-DATE(2020,1,22))/7)+1</f>
        <v>16.0</v>
      </c>
      <c r="G110" s="1" t="str">
        <f>"Week_"&amp;F110</f>
        <v>Week_16</v>
      </c>
    </row>
    <row r="111" spans="8:8" ht="15.1">
      <c r="A111" s="3">
        <v>43961.0</v>
      </c>
      <c r="B111" s="2">
        <v>15691.0</v>
      </c>
      <c r="C111" s="2">
        <v>239.0</v>
      </c>
      <c r="D111" s="2">
        <f>_xlfn.IFERROR(B111-B110,0)</f>
        <v>1034.0</v>
      </c>
      <c r="E111" s="2">
        <f>_xlfn.IFERROR(C111-C110,0)</f>
        <v>11.0</v>
      </c>
      <c r="F111" s="1">
        <f>INT((A111-DATE(2020,1,22))/7)+1</f>
        <v>16.0</v>
      </c>
      <c r="G111" s="1" t="str">
        <f>"Week_"&amp;F111</f>
        <v>Week_16</v>
      </c>
    </row>
    <row r="112" spans="8:8" ht="15.1">
      <c r="A112" s="3">
        <v>43962.0</v>
      </c>
      <c r="B112" s="2">
        <v>16660.0</v>
      </c>
      <c r="C112" s="2">
        <v>250.0</v>
      </c>
      <c r="D112" s="2">
        <f>_xlfn.IFERROR(B112-B111,0)</f>
        <v>969.0</v>
      </c>
      <c r="E112" s="2">
        <f>_xlfn.IFERROR(C112-C111,0)</f>
        <v>11.0</v>
      </c>
      <c r="F112" s="1">
        <f>INT((A112-DATE(2020,1,22))/7)+1</f>
        <v>16.0</v>
      </c>
      <c r="G112" s="1" t="str">
        <f>"Week_"&amp;F112</f>
        <v>Week_16</v>
      </c>
    </row>
    <row r="113" spans="8:8" ht="15.1">
      <c r="A113" s="3">
        <v>43963.0</v>
      </c>
      <c r="B113" s="2">
        <v>17822.0</v>
      </c>
      <c r="C113" s="2">
        <v>269.0</v>
      </c>
      <c r="D113" s="2">
        <f>_xlfn.IFERROR(B113-B112,0)</f>
        <v>1162.0</v>
      </c>
      <c r="E113" s="2">
        <f>_xlfn.IFERROR(C113-C112,0)</f>
        <v>19.0</v>
      </c>
      <c r="F113" s="1">
        <f>INT((A113-DATE(2020,1,22))/7)+1</f>
        <v>16.0</v>
      </c>
      <c r="G113" s="1" t="str">
        <f>"Week_"&amp;F113</f>
        <v>Week_16</v>
      </c>
    </row>
    <row r="114" spans="8:8" ht="15.1">
      <c r="A114" s="3">
        <v>43964.0</v>
      </c>
      <c r="B114" s="2">
        <v>18863.0</v>
      </c>
      <c r="C114" s="2">
        <v>283.0</v>
      </c>
      <c r="D114" s="2">
        <f>_xlfn.IFERROR(B114-B113,0)</f>
        <v>1041.0</v>
      </c>
      <c r="E114" s="2">
        <f>_xlfn.IFERROR(C114-C113,0)</f>
        <v>14.0</v>
      </c>
      <c r="F114" s="1">
        <f>INT((A114-DATE(2020,1,22))/7)+1</f>
        <v>17.0</v>
      </c>
      <c r="G114" s="1" t="str">
        <f>"Week_"&amp;F114</f>
        <v>Week_17</v>
      </c>
    </row>
    <row r="115" spans="8:8" ht="15.1">
      <c r="A115" s="3">
        <v>43965.0</v>
      </c>
      <c r="B115" s="2">
        <v>20065.0</v>
      </c>
      <c r="C115" s="2">
        <v>298.0</v>
      </c>
      <c r="D115" s="2">
        <f>_xlfn.IFERROR(B115-B114,0)</f>
        <v>1202.0</v>
      </c>
      <c r="E115" s="2">
        <f>_xlfn.IFERROR(C115-C114,0)</f>
        <v>15.0</v>
      </c>
      <c r="F115" s="1">
        <f>INT((A115-DATE(2020,1,22))/7)+1</f>
        <v>17.0</v>
      </c>
      <c r="G115" s="1" t="str">
        <f>"Week_"&amp;F115</f>
        <v>Week_17</v>
      </c>
    </row>
    <row r="116" spans="8:8" ht="15.1">
      <c r="A116" s="3">
        <v>43966.0</v>
      </c>
      <c r="B116" s="2">
        <v>20995.0</v>
      </c>
      <c r="C116" s="2">
        <v>314.0</v>
      </c>
      <c r="D116" s="2">
        <f>_xlfn.IFERROR(B116-B115,0)</f>
        <v>930.0</v>
      </c>
      <c r="E116" s="2">
        <f>_xlfn.IFERROR(C116-C115,0)</f>
        <v>16.0</v>
      </c>
      <c r="F116" s="1">
        <f>INT((A116-DATE(2020,1,22))/7)+1</f>
        <v>17.0</v>
      </c>
      <c r="G116" s="1" t="str">
        <f>"Week_"&amp;F116</f>
        <v>Week_17</v>
      </c>
    </row>
    <row r="117" spans="8:8" ht="15.1">
      <c r="A117" s="3">
        <v>43967.0</v>
      </c>
      <c r="B117" s="2">
        <v>22268.0</v>
      </c>
      <c r="C117" s="2">
        <v>328.0</v>
      </c>
      <c r="D117" s="2">
        <f>_xlfn.IFERROR(B117-B116,0)</f>
        <v>1273.0</v>
      </c>
      <c r="E117" s="2">
        <f>_xlfn.IFERROR(C117-C116,0)</f>
        <v>14.0</v>
      </c>
      <c r="F117" s="1">
        <f>INT((A117-DATE(2020,1,22))/7)+1</f>
        <v>17.0</v>
      </c>
      <c r="G117" s="1" t="str">
        <f>"Week_"&amp;F117</f>
        <v>Week_17</v>
      </c>
    </row>
    <row r="118" spans="8:8" ht="15.1">
      <c r="A118" s="3">
        <v>43968.0</v>
      </c>
      <c r="B118" s="2">
        <v>23870.0</v>
      </c>
      <c r="C118" s="2">
        <v>349.0</v>
      </c>
      <c r="D118" s="2">
        <f>_xlfn.IFERROR(B118-B117,0)</f>
        <v>1602.0</v>
      </c>
      <c r="E118" s="2">
        <f>_xlfn.IFERROR(C118-C117,0)</f>
        <v>21.0</v>
      </c>
      <c r="F118" s="1">
        <f>INT((A118-DATE(2020,1,22))/7)+1</f>
        <v>17.0</v>
      </c>
      <c r="G118" s="1" t="str">
        <f>"Week_"&amp;F118</f>
        <v>Week_17</v>
      </c>
    </row>
    <row r="119" spans="8:8" ht="15.1">
      <c r="A119" s="3">
        <v>43969.0</v>
      </c>
      <c r="B119" s="2">
        <v>25121.0</v>
      </c>
      <c r="C119" s="2">
        <v>370.0</v>
      </c>
      <c r="D119" s="2">
        <f>_xlfn.IFERROR(B119-B118,0)</f>
        <v>1251.0</v>
      </c>
      <c r="E119" s="2">
        <f>_xlfn.IFERROR(C119-C118,0)</f>
        <v>21.0</v>
      </c>
      <c r="F119" s="1">
        <f>INT((A119-DATE(2020,1,22))/7)+1</f>
        <v>17.0</v>
      </c>
      <c r="G119" s="1" t="str">
        <f>"Week_"&amp;F119</f>
        <v>Week_17</v>
      </c>
    </row>
    <row r="120" spans="8:8" ht="15.1">
      <c r="A120" s="3">
        <v>43970.0</v>
      </c>
      <c r="B120" s="2">
        <v>26738.0</v>
      </c>
      <c r="C120" s="2">
        <v>386.0</v>
      </c>
      <c r="D120" s="2">
        <f>_xlfn.IFERROR(B120-B119,0)</f>
        <v>1617.0</v>
      </c>
      <c r="E120" s="2">
        <f>_xlfn.IFERROR(C120-C119,0)</f>
        <v>16.0</v>
      </c>
      <c r="F120" s="1">
        <f>INT((A120-DATE(2020,1,22))/7)+1</f>
        <v>17.0</v>
      </c>
      <c r="G120" s="1" t="str">
        <f>"Week_"&amp;F120</f>
        <v>Week_17</v>
      </c>
    </row>
    <row r="121" spans="8:8" ht="15.1">
      <c r="A121" s="3">
        <v>43971.0</v>
      </c>
      <c r="B121" s="2">
        <v>28511.0</v>
      </c>
      <c r="C121" s="2">
        <v>408.0</v>
      </c>
      <c r="D121" s="2">
        <f>_xlfn.IFERROR(B121-B120,0)</f>
        <v>1773.0</v>
      </c>
      <c r="E121" s="2">
        <f>_xlfn.IFERROR(C121-C120,0)</f>
        <v>22.0</v>
      </c>
      <c r="F121" s="1">
        <f>INT((A121-DATE(2020,1,22))/7)+1</f>
        <v>18.0</v>
      </c>
      <c r="G121" s="1" t="str">
        <f>"Week_"&amp;F121</f>
        <v>Week_18</v>
      </c>
    </row>
    <row r="122" spans="8:8" ht="15.1">
      <c r="A122" s="3">
        <v>43972.0</v>
      </c>
      <c r="B122" s="2">
        <v>30205.0</v>
      </c>
      <c r="C122" s="2">
        <v>432.0</v>
      </c>
      <c r="D122" s="2">
        <f>_xlfn.IFERROR(B122-B121,0)</f>
        <v>1694.0</v>
      </c>
      <c r="E122" s="2">
        <f>_xlfn.IFERROR(C122-C121,0)</f>
        <v>24.0</v>
      </c>
      <c r="F122" s="1">
        <f>INT((A122-DATE(2020,1,22))/7)+1</f>
        <v>18.0</v>
      </c>
      <c r="G122" s="1" t="str">
        <f>"Week_"&amp;F122</f>
        <v>Week_18</v>
      </c>
    </row>
    <row r="123" spans="8:8" ht="15.1">
      <c r="A123" s="3">
        <v>43973.0</v>
      </c>
      <c r="B123" s="2">
        <v>32078.0</v>
      </c>
      <c r="C123" s="2">
        <v>452.0</v>
      </c>
      <c r="D123" s="2">
        <f>_xlfn.IFERROR(B123-B122,0)</f>
        <v>1873.0</v>
      </c>
      <c r="E123" s="2">
        <f>_xlfn.IFERROR(C123-C122,0)</f>
        <v>20.0</v>
      </c>
      <c r="F123" s="1">
        <f>INT((A123-DATE(2020,1,22))/7)+1</f>
        <v>18.0</v>
      </c>
      <c r="G123" s="1" t="str">
        <f>"Week_"&amp;F123</f>
        <v>Week_18</v>
      </c>
    </row>
    <row r="124" spans="8:8" ht="15.1">
      <c r="A124" s="3">
        <v>43974.0</v>
      </c>
      <c r="B124" s="2">
        <v>33610.0</v>
      </c>
      <c r="C124" s="2">
        <v>480.0</v>
      </c>
      <c r="D124" s="2">
        <f>_xlfn.IFERROR(B124-B123,0)</f>
        <v>1532.0</v>
      </c>
      <c r="E124" s="2">
        <f>_xlfn.IFERROR(C124-C123,0)</f>
        <v>28.0</v>
      </c>
      <c r="F124" s="1">
        <f>INT((A124-DATE(2020,1,22))/7)+1</f>
        <v>18.0</v>
      </c>
      <c r="G124" s="1" t="str">
        <f>"Week_"&amp;F124</f>
        <v>Week_18</v>
      </c>
    </row>
    <row r="125" spans="8:8" ht="15.1">
      <c r="A125" s="3">
        <v>43975.0</v>
      </c>
      <c r="B125" s="2">
        <v>35585.0</v>
      </c>
      <c r="C125" s="2">
        <v>501.0</v>
      </c>
      <c r="D125" s="2">
        <f>_xlfn.IFERROR(B125-B124,0)</f>
        <v>1975.0</v>
      </c>
      <c r="E125" s="2">
        <f>_xlfn.IFERROR(C125-C124,0)</f>
        <v>21.0</v>
      </c>
      <c r="F125" s="1">
        <f>INT((A125-DATE(2020,1,22))/7)+1</f>
        <v>18.0</v>
      </c>
      <c r="G125" s="1" t="str">
        <f>"Week_"&amp;F125</f>
        <v>Week_18</v>
      </c>
    </row>
    <row r="126" spans="8:8" ht="15.1">
      <c r="A126" s="3">
        <v>43976.0</v>
      </c>
      <c r="B126" s="2">
        <v>36751.0</v>
      </c>
      <c r="C126" s="2">
        <v>522.0</v>
      </c>
      <c r="D126" s="2">
        <f>_xlfn.IFERROR(B126-B125,0)</f>
        <v>1166.0</v>
      </c>
      <c r="E126" s="2">
        <f>_xlfn.IFERROR(C126-C125,0)</f>
        <v>21.0</v>
      </c>
      <c r="F126" s="1">
        <f>INT((A126-DATE(2020,1,22))/7)+1</f>
        <v>18.0</v>
      </c>
      <c r="G126" s="1" t="str">
        <f>"Week_"&amp;F126</f>
        <v>Week_18</v>
      </c>
    </row>
    <row r="127" spans="8:8" ht="15.1">
      <c r="A127" s="3">
        <v>43977.0</v>
      </c>
      <c r="B127" s="2">
        <v>38292.0</v>
      </c>
      <c r="C127" s="2">
        <v>544.0</v>
      </c>
      <c r="D127" s="2">
        <f>_xlfn.IFERROR(B127-B126,0)</f>
        <v>1541.0</v>
      </c>
      <c r="E127" s="2">
        <f>_xlfn.IFERROR(C127-C126,0)</f>
        <v>22.0</v>
      </c>
      <c r="F127" s="1">
        <f>INT((A127-DATE(2020,1,22))/7)+1</f>
        <v>18.0</v>
      </c>
      <c r="G127" s="1" t="str">
        <f>"Week_"&amp;F127</f>
        <v>Week_18</v>
      </c>
    </row>
    <row r="128" spans="8:8" ht="15.1">
      <c r="A128" s="3">
        <v>43978.0</v>
      </c>
      <c r="B128" s="2">
        <v>40321.0</v>
      </c>
      <c r="C128" s="2">
        <v>559.0</v>
      </c>
      <c r="D128" s="2">
        <f>_xlfn.IFERROR(B128-B127,0)</f>
        <v>2029.0</v>
      </c>
      <c r="E128" s="2">
        <f>_xlfn.IFERROR(C128-C127,0)</f>
        <v>15.0</v>
      </c>
      <c r="F128" s="1">
        <f>INT((A128-DATE(2020,1,22))/7)+1</f>
        <v>19.0</v>
      </c>
      <c r="G128" s="1" t="str">
        <f>"Week_"&amp;F128</f>
        <v>Week_19</v>
      </c>
    </row>
    <row r="129" spans="8:8" ht="15.1">
      <c r="A129" s="3">
        <v>43979.0</v>
      </c>
      <c r="B129" s="2">
        <v>42844.0</v>
      </c>
      <c r="C129" s="2">
        <v>582.0</v>
      </c>
      <c r="D129" s="2">
        <f>_xlfn.IFERROR(B129-B128,0)</f>
        <v>2523.0</v>
      </c>
      <c r="E129" s="2">
        <f>_xlfn.IFERROR(C129-C128,0)</f>
        <v>23.0</v>
      </c>
      <c r="F129" s="1">
        <f>INT((A129-DATE(2020,1,22))/7)+1</f>
        <v>19.0</v>
      </c>
      <c r="G129" s="1" t="str">
        <f>"Week_"&amp;F129</f>
        <v>Week_19</v>
      </c>
    </row>
    <row r="130" spans="8:8" ht="15.1">
      <c r="A130" s="3">
        <v>43980.0</v>
      </c>
      <c r="B130" s="2">
        <v>44608.0</v>
      </c>
      <c r="C130" s="2">
        <v>610.0</v>
      </c>
      <c r="D130" s="2">
        <f>_xlfn.IFERROR(B130-B129,0)</f>
        <v>1764.0</v>
      </c>
      <c r="E130" s="2">
        <f>_xlfn.IFERROR(C130-C129,0)</f>
        <v>28.0</v>
      </c>
      <c r="F130" s="1">
        <f>INT((A130-DATE(2020,1,22))/7)+1</f>
        <v>19.0</v>
      </c>
      <c r="G130" s="1" t="str">
        <f>"Week_"&amp;F130</f>
        <v>Week_19</v>
      </c>
    </row>
    <row r="131" spans="8:8" ht="15.1">
      <c r="A131" s="3">
        <v>43981.0</v>
      </c>
      <c r="B131" s="2">
        <v>47153.0</v>
      </c>
      <c r="C131" s="2">
        <v>650.0</v>
      </c>
      <c r="D131" s="2">
        <f>_xlfn.IFERROR(B131-B130,0)</f>
        <v>2545.0</v>
      </c>
      <c r="E131" s="2">
        <f>_xlfn.IFERROR(C131-C130,0)</f>
        <v>40.0</v>
      </c>
      <c r="F131" s="1">
        <f>INT((A131-DATE(2020,1,22))/7)+1</f>
        <v>19.0</v>
      </c>
      <c r="G131" s="1" t="str">
        <f>"Week_"&amp;F131</f>
        <v>Week_19</v>
      </c>
    </row>
    <row r="132" spans="8:8" ht="15.1">
      <c r="A132" s="3">
        <v>43982.0</v>
      </c>
      <c r="B132" s="2">
        <v>49534.0</v>
      </c>
      <c r="C132" s="2">
        <v>672.0</v>
      </c>
      <c r="D132" s="2">
        <f>_xlfn.IFERROR(B132-B131,0)</f>
        <v>2381.0</v>
      </c>
      <c r="E132" s="2">
        <f>_xlfn.IFERROR(C132-C131,0)</f>
        <v>22.0</v>
      </c>
      <c r="F132" s="1">
        <f>INT((A132-DATE(2020,1,22))/7)+1</f>
        <v>19.0</v>
      </c>
      <c r="G132" s="1" t="str">
        <f>"Week_"&amp;F132</f>
        <v>Week_19</v>
      </c>
    </row>
    <row r="133" spans="8:8" ht="15.1">
      <c r="A133" s="3">
        <v>43983.0</v>
      </c>
      <c r="B133" s="2">
        <v>52445.0</v>
      </c>
      <c r="C133" s="2">
        <v>709.0</v>
      </c>
      <c r="D133" s="2">
        <f>_xlfn.IFERROR(B133-B132,0)</f>
        <v>2911.0</v>
      </c>
      <c r="E133" s="2">
        <f>_xlfn.IFERROR(C133-C132,0)</f>
        <v>37.0</v>
      </c>
      <c r="F133" s="1">
        <f>INT((A133-DATE(2020,1,22))/7)+1</f>
        <v>19.0</v>
      </c>
      <c r="G133" s="1" t="str">
        <f>"Week_"&amp;F133</f>
        <v>Week_19</v>
      </c>
    </row>
    <row r="134" spans="8:8" ht="15.1">
      <c r="A134" s="3">
        <v>43984.0</v>
      </c>
      <c r="B134" s="2">
        <v>55140.0</v>
      </c>
      <c r="C134" s="2">
        <v>746.0</v>
      </c>
      <c r="D134" s="2">
        <f>_xlfn.IFERROR(B134-B133,0)</f>
        <v>2695.0</v>
      </c>
      <c r="E134" s="2">
        <f>_xlfn.IFERROR(C134-C133,0)</f>
        <v>37.0</v>
      </c>
      <c r="F134" s="1">
        <f>INT((A134-DATE(2020,1,22))/7)+1</f>
        <v>19.0</v>
      </c>
      <c r="G134" s="1" t="str">
        <f>"Week_"&amp;F134</f>
        <v>Week_19</v>
      </c>
    </row>
    <row r="135" spans="8:8" ht="15.1">
      <c r="A135" s="3">
        <v>43985.0</v>
      </c>
      <c r="B135" s="2">
        <v>57563.0</v>
      </c>
      <c r="C135" s="2">
        <v>781.0</v>
      </c>
      <c r="D135" s="2">
        <f>_xlfn.IFERROR(B135-B134,0)</f>
        <v>2423.0</v>
      </c>
      <c r="E135" s="2">
        <f>_xlfn.IFERROR(C135-C134,0)</f>
        <v>35.0</v>
      </c>
      <c r="F135" s="1">
        <f>INT((A135-DATE(2020,1,22))/7)+1</f>
        <v>20.0</v>
      </c>
      <c r="G135" s="1" t="str">
        <f>"Week_"&amp;F135</f>
        <v>Week_20</v>
      </c>
    </row>
    <row r="136" spans="8:8" ht="15.1">
      <c r="A136" s="3">
        <v>43986.0</v>
      </c>
      <c r="B136" s="2">
        <v>60391.0</v>
      </c>
      <c r="C136" s="2">
        <v>811.0</v>
      </c>
      <c r="D136" s="2">
        <f>_xlfn.IFERROR(B136-B135,0)</f>
        <v>2828.0</v>
      </c>
      <c r="E136" s="2">
        <f>_xlfn.IFERROR(C136-C135,0)</f>
        <v>30.0</v>
      </c>
      <c r="F136" s="1">
        <f>INT((A136-DATE(2020,1,22))/7)+1</f>
        <v>20.0</v>
      </c>
      <c r="G136" s="1" t="str">
        <f>"Week_"&amp;F136</f>
        <v>Week_20</v>
      </c>
    </row>
    <row r="137" spans="8:8" ht="15.1">
      <c r="A137" s="3">
        <v>43987.0</v>
      </c>
      <c r="B137" s="2">
        <v>63026.0</v>
      </c>
      <c r="C137" s="2">
        <v>846.0</v>
      </c>
      <c r="D137" s="2">
        <f>_xlfn.IFERROR(B137-B136,0)</f>
        <v>2635.0</v>
      </c>
      <c r="E137" s="2">
        <f>_xlfn.IFERROR(C137-C136,0)</f>
        <v>35.0</v>
      </c>
      <c r="F137" s="1">
        <f>INT((A137-DATE(2020,1,22))/7)+1</f>
        <v>20.0</v>
      </c>
      <c r="G137" s="1" t="str">
        <f>"Week_"&amp;F137</f>
        <v>Week_20</v>
      </c>
    </row>
    <row r="138" spans="8:8" ht="15.1">
      <c r="A138" s="3">
        <v>43988.0</v>
      </c>
      <c r="B138" s="2">
        <v>65769.0</v>
      </c>
      <c r="C138" s="2">
        <v>888.0</v>
      </c>
      <c r="D138" s="2">
        <f>_xlfn.IFERROR(B138-B137,0)</f>
        <v>2743.0</v>
      </c>
      <c r="E138" s="2">
        <f>_xlfn.IFERROR(C138-C137,0)</f>
        <v>42.0</v>
      </c>
      <c r="F138" s="1">
        <f>INT((A138-DATE(2020,1,22))/7)+1</f>
        <v>20.0</v>
      </c>
      <c r="G138" s="1" t="str">
        <f>"Week_"&amp;F138</f>
        <v>Week_20</v>
      </c>
    </row>
    <row r="139" spans="8:8" ht="15.1">
      <c r="A139" s="3">
        <v>43989.0</v>
      </c>
      <c r="B139" s="2">
        <v>68504.0</v>
      </c>
      <c r="C139" s="2">
        <v>930.0</v>
      </c>
      <c r="D139" s="2">
        <f>_xlfn.IFERROR(B139-B138,0)</f>
        <v>2735.0</v>
      </c>
      <c r="E139" s="2">
        <f>_xlfn.IFERROR(C139-C138,0)</f>
        <v>42.0</v>
      </c>
      <c r="F139" s="1">
        <f>INT((A139-DATE(2020,1,22))/7)+1</f>
        <v>20.0</v>
      </c>
      <c r="G139" s="1" t="str">
        <f>"Week_"&amp;F139</f>
        <v>Week_20</v>
      </c>
    </row>
    <row r="140" spans="8:8" ht="15.1">
      <c r="A140" s="3">
        <v>43990.0</v>
      </c>
      <c r="B140" s="2">
        <v>71675.0</v>
      </c>
      <c r="C140" s="2">
        <v>975.0</v>
      </c>
      <c r="D140" s="2">
        <f>_xlfn.IFERROR(B140-B139,0)</f>
        <v>3171.0</v>
      </c>
      <c r="E140" s="2">
        <f>_xlfn.IFERROR(C140-C139,0)</f>
        <v>45.0</v>
      </c>
      <c r="F140" s="1">
        <f>INT((A140-DATE(2020,1,22))/7)+1</f>
        <v>20.0</v>
      </c>
      <c r="G140" s="1" t="str">
        <f>"Week_"&amp;F140</f>
        <v>Week_20</v>
      </c>
    </row>
    <row r="141" spans="8:8" ht="15.1">
      <c r="A141" s="3">
        <v>43991.0</v>
      </c>
      <c r="B141" s="2">
        <v>74865.0</v>
      </c>
      <c r="C141" s="2">
        <v>1012.0</v>
      </c>
      <c r="D141" s="2">
        <f>_xlfn.IFERROR(B141-B140,0)</f>
        <v>3190.0</v>
      </c>
      <c r="E141" s="2">
        <f>_xlfn.IFERROR(C141-C140,0)</f>
        <v>37.0</v>
      </c>
      <c r="F141" s="1">
        <f>INT((A141-DATE(2020,1,22))/7)+1</f>
        <v>20.0</v>
      </c>
      <c r="G141" s="1" t="str">
        <f>"Week_"&amp;F141</f>
        <v>Week_20</v>
      </c>
    </row>
    <row r="142" spans="8:8" ht="15.1">
      <c r="A142" s="3">
        <v>43992.0</v>
      </c>
      <c r="B142" s="2">
        <v>78052.0</v>
      </c>
      <c r="C142" s="2">
        <v>1049.0</v>
      </c>
      <c r="D142" s="2">
        <f>_xlfn.IFERROR(B142-B141,0)</f>
        <v>3187.0</v>
      </c>
      <c r="E142" s="2">
        <f>_xlfn.IFERROR(C142-C141,0)</f>
        <v>37.0</v>
      </c>
      <c r="F142" s="1">
        <f>INT((A142-DATE(2020,1,22))/7)+1</f>
        <v>21.0</v>
      </c>
      <c r="G142" s="1" t="str">
        <f>"Week_"&amp;F142</f>
        <v>Week_21</v>
      </c>
    </row>
    <row r="143" spans="8:8" ht="15.1">
      <c r="A143" s="3">
        <v>43993.0</v>
      </c>
      <c r="B143" s="2">
        <v>81523.0</v>
      </c>
      <c r="C143" s="2">
        <v>1095.0</v>
      </c>
      <c r="D143" s="2">
        <f>_xlfn.IFERROR(B143-B142,0)</f>
        <v>3471.0</v>
      </c>
      <c r="E143" s="2">
        <f>_xlfn.IFERROR(C143-C142,0)</f>
        <v>46.0</v>
      </c>
      <c r="F143" s="1">
        <f>INT((A143-DATE(2020,1,22))/7)+1</f>
        <v>21.0</v>
      </c>
      <c r="G143" s="1" t="str">
        <f>"Week_"&amp;F143</f>
        <v>Week_21</v>
      </c>
    </row>
    <row r="144" spans="8:8" ht="15.1">
      <c r="A144" s="3">
        <v>43994.0</v>
      </c>
      <c r="B144" s="2">
        <v>84379.0</v>
      </c>
      <c r="C144" s="2">
        <v>1139.0</v>
      </c>
      <c r="D144" s="2">
        <f>_xlfn.IFERROR(B144-B143,0)</f>
        <v>2856.0</v>
      </c>
      <c r="E144" s="2">
        <f>_xlfn.IFERROR(C144-C143,0)</f>
        <v>44.0</v>
      </c>
      <c r="F144" s="1">
        <f>INT((A144-DATE(2020,1,22))/7)+1</f>
        <v>21.0</v>
      </c>
      <c r="G144" s="1" t="str">
        <f>"Week_"&amp;F144</f>
        <v>Week_21</v>
      </c>
    </row>
    <row r="145" spans="8:8" ht="15.1">
      <c r="A145" s="3">
        <v>43995.0</v>
      </c>
      <c r="B145" s="2">
        <v>87520.0</v>
      </c>
      <c r="C145" s="2">
        <v>1171.0</v>
      </c>
      <c r="D145" s="2">
        <f>_xlfn.IFERROR(B145-B144,0)</f>
        <v>3141.0</v>
      </c>
      <c r="E145" s="2">
        <f>_xlfn.IFERROR(C145-C144,0)</f>
        <v>32.0</v>
      </c>
      <c r="F145" s="1">
        <f>INT((A145-DATE(2020,1,22))/7)+1</f>
        <v>21.0</v>
      </c>
      <c r="G145" s="1" t="str">
        <f>"Week_"&amp;F145</f>
        <v>Week_21</v>
      </c>
    </row>
    <row r="146" spans="8:8" ht="15.1">
      <c r="A146" s="3">
        <v>43996.0</v>
      </c>
      <c r="B146" s="2">
        <v>90619.0</v>
      </c>
      <c r="C146" s="2">
        <v>1209.0</v>
      </c>
      <c r="D146" s="2">
        <f>_xlfn.IFERROR(B146-B145,0)</f>
        <v>3099.0</v>
      </c>
      <c r="E146" s="2">
        <f>_xlfn.IFERROR(C146-C145,0)</f>
        <v>38.0</v>
      </c>
      <c r="F146" s="1">
        <f>INT((A146-DATE(2020,1,22))/7)+1</f>
        <v>21.0</v>
      </c>
      <c r="G146" s="1" t="str">
        <f>"Week_"&amp;F146</f>
        <v>Week_21</v>
      </c>
    </row>
    <row r="147" spans="8:8" ht="15.1">
      <c r="A147" s="3">
        <v>43997.0</v>
      </c>
      <c r="B147" s="2">
        <v>94481.0</v>
      </c>
      <c r="C147" s="2">
        <v>1262.0</v>
      </c>
      <c r="D147" s="2">
        <f>_xlfn.IFERROR(B147-B146,0)</f>
        <v>3862.0</v>
      </c>
      <c r="E147" s="2">
        <f>_xlfn.IFERROR(C147-C146,0)</f>
        <v>53.0</v>
      </c>
      <c r="F147" s="1">
        <f>INT((A147-DATE(2020,1,22))/7)+1</f>
        <v>21.0</v>
      </c>
      <c r="G147" s="1" t="str">
        <f>"Week_"&amp;F147</f>
        <v>Week_21</v>
      </c>
    </row>
    <row r="148" spans="8:8" ht="15.1">
      <c r="A148" s="3">
        <v>43998.0</v>
      </c>
      <c r="B148" s="2">
        <v>98489.0</v>
      </c>
      <c r="C148" s="2">
        <v>1305.0</v>
      </c>
      <c r="D148" s="2">
        <f>_xlfn.IFERROR(B148-B147,0)</f>
        <v>4008.0</v>
      </c>
      <c r="E148" s="2">
        <f>_xlfn.IFERROR(C148-C147,0)</f>
        <v>43.0</v>
      </c>
      <c r="F148" s="1">
        <f>INT((A148-DATE(2020,1,22))/7)+1</f>
        <v>21.0</v>
      </c>
      <c r="G148" s="1" t="str">
        <f>"Week_"&amp;F148</f>
        <v>Week_21</v>
      </c>
    </row>
    <row r="149" spans="8:8" ht="15.1">
      <c r="A149" s="3">
        <v>43999.0</v>
      </c>
      <c r="B149" s="2">
        <v>102292.0</v>
      </c>
      <c r="C149" s="2">
        <v>1343.0</v>
      </c>
      <c r="D149" s="2">
        <f>_xlfn.IFERROR(B149-B148,0)</f>
        <v>3803.0</v>
      </c>
      <c r="E149" s="2">
        <f>_xlfn.IFERROR(C149-C148,0)</f>
        <v>38.0</v>
      </c>
      <c r="F149" s="1">
        <f>INT((A149-DATE(2020,1,22))/7)+1</f>
        <v>22.0</v>
      </c>
      <c r="G149" s="1" t="str">
        <f>"Week_"&amp;F149</f>
        <v>Week_22</v>
      </c>
    </row>
    <row r="150" spans="8:8" ht="15.1">
      <c r="A150" s="3">
        <v>44000.0</v>
      </c>
      <c r="B150" s="2">
        <v>105535.0</v>
      </c>
      <c r="C150" s="2">
        <v>1388.0</v>
      </c>
      <c r="D150" s="2">
        <f>_xlfn.IFERROR(B150-B149,0)</f>
        <v>3243.0</v>
      </c>
      <c r="E150" s="2">
        <f>_xlfn.IFERROR(C150-C149,0)</f>
        <v>45.0</v>
      </c>
      <c r="F150" s="1">
        <f>INT((A150-DATE(2020,1,22))/7)+1</f>
        <v>22.0</v>
      </c>
      <c r="G150" s="1" t="str">
        <f>"Week_"&amp;F150</f>
        <v>Week_22</v>
      </c>
    </row>
    <row r="151" spans="8:8" ht="15.1">
      <c r="A151" s="3">
        <v>44001.0</v>
      </c>
      <c r="B151" s="2">
        <v>108775.0</v>
      </c>
      <c r="C151" s="2">
        <v>1425.0</v>
      </c>
      <c r="D151" s="2">
        <f>_xlfn.IFERROR(B151-B150,0)</f>
        <v>3240.0</v>
      </c>
      <c r="E151" s="2">
        <f>_xlfn.IFERROR(C151-C150,0)</f>
        <v>37.0</v>
      </c>
      <c r="F151" s="1">
        <f>INT((A151-DATE(2020,1,22))/7)+1</f>
        <v>22.0</v>
      </c>
      <c r="G151" s="1" t="str">
        <f>"Week_"&amp;F151</f>
        <v>Week_22</v>
      </c>
    </row>
    <row r="152" spans="8:8" ht="15.1">
      <c r="A152" s="3">
        <v>44002.0</v>
      </c>
      <c r="B152" s="2">
        <v>112306.0</v>
      </c>
      <c r="C152" s="2">
        <v>1464.0</v>
      </c>
      <c r="D152" s="2">
        <f>_xlfn.IFERROR(B152-B151,0)</f>
        <v>3531.0</v>
      </c>
      <c r="E152" s="2">
        <f>_xlfn.IFERROR(C152-C151,0)</f>
        <v>39.0</v>
      </c>
      <c r="F152" s="1">
        <f>INT((A152-DATE(2020,1,22))/7)+1</f>
        <v>22.0</v>
      </c>
      <c r="G152" s="1" t="str">
        <f>"Week_"&amp;F152</f>
        <v>Week_22</v>
      </c>
    </row>
    <row r="153" spans="8:8" ht="15.1">
      <c r="A153" s="3">
        <v>44003.0</v>
      </c>
      <c r="B153" s="2">
        <v>115786.0</v>
      </c>
      <c r="C153" s="2">
        <v>1502.0</v>
      </c>
      <c r="D153" s="2">
        <f>_xlfn.IFERROR(B153-B152,0)</f>
        <v>3480.0</v>
      </c>
      <c r="E153" s="2">
        <f>_xlfn.IFERROR(C153-C152,0)</f>
        <v>38.0</v>
      </c>
      <c r="F153" s="1">
        <f>INT((A153-DATE(2020,1,22))/7)+1</f>
        <v>22.0</v>
      </c>
      <c r="G153" s="1" t="str">
        <f>"Week_"&amp;F153</f>
        <v>Week_22</v>
      </c>
    </row>
    <row r="154" spans="8:8" ht="15.1">
      <c r="A154" s="3">
        <v>44004.0</v>
      </c>
      <c r="B154" s="2">
        <v>119198.0</v>
      </c>
      <c r="C154" s="2">
        <v>1545.0</v>
      </c>
      <c r="D154" s="2">
        <f>_xlfn.IFERROR(B154-B153,0)</f>
        <v>3412.0</v>
      </c>
      <c r="E154" s="2">
        <f>_xlfn.IFERROR(C154-C153,0)</f>
        <v>43.0</v>
      </c>
      <c r="F154" s="1">
        <f>INT((A154-DATE(2020,1,22))/7)+1</f>
        <v>22.0</v>
      </c>
      <c r="G154" s="1" t="str">
        <f>"Week_"&amp;F154</f>
        <v>Week_22</v>
      </c>
    </row>
    <row r="155" spans="8:8" ht="15.1">
      <c r="A155" s="3">
        <v>44005.0</v>
      </c>
      <c r="B155" s="2">
        <v>122660.0</v>
      </c>
      <c r="C155" s="2">
        <v>1582.0</v>
      </c>
      <c r="D155" s="2">
        <f>_xlfn.IFERROR(B155-B154,0)</f>
        <v>3462.0</v>
      </c>
      <c r="E155" s="2">
        <f>_xlfn.IFERROR(C155-C154,0)</f>
        <v>37.0</v>
      </c>
      <c r="F155" s="1">
        <f>INT((A155-DATE(2020,1,22))/7)+1</f>
        <v>22.0</v>
      </c>
      <c r="G155" s="1" t="str">
        <f>"Week_"&amp;F155</f>
        <v>Week_22</v>
      </c>
    </row>
    <row r="156" spans="8:8" ht="15.1">
      <c r="A156" s="3">
        <v>44006.0</v>
      </c>
      <c r="B156" s="2">
        <v>126606.0</v>
      </c>
      <c r="C156" s="2">
        <v>1621.0</v>
      </c>
      <c r="D156" s="2">
        <f>_xlfn.IFERROR(B156-B155,0)</f>
        <v>3946.0</v>
      </c>
      <c r="E156" s="2">
        <f>_xlfn.IFERROR(C156-C155,0)</f>
        <v>39.0</v>
      </c>
      <c r="F156" s="1">
        <f>INT((A156-DATE(2020,1,22))/7)+1</f>
        <v>23.0</v>
      </c>
      <c r="G156" s="1" t="str">
        <f>"Week_"&amp;F156</f>
        <v>Week_23</v>
      </c>
    </row>
    <row r="157" spans="8:8" ht="15.1">
      <c r="A157" s="3">
        <v>44007.0</v>
      </c>
      <c r="B157" s="2">
        <v>130474.0</v>
      </c>
      <c r="C157" s="2">
        <v>1661.0</v>
      </c>
      <c r="D157" s="2">
        <f>_xlfn.IFERROR(B157-B156,0)</f>
        <v>3868.0</v>
      </c>
      <c r="E157" s="2">
        <f>_xlfn.IFERROR(C157-C156,0)</f>
        <v>40.0</v>
      </c>
      <c r="F157" s="1">
        <f>INT((A157-DATE(2020,1,22))/7)+1</f>
        <v>23.0</v>
      </c>
      <c r="G157" s="1" t="str">
        <f>"Week_"&amp;F157</f>
        <v>Week_23</v>
      </c>
    </row>
    <row r="158" spans="8:8" ht="15.1">
      <c r="A158" s="3">
        <v>44008.0</v>
      </c>
      <c r="B158" s="2">
        <v>133978.0</v>
      </c>
      <c r="C158" s="2">
        <v>1695.0</v>
      </c>
      <c r="D158" s="2">
        <f>_xlfn.IFERROR(B158-B157,0)</f>
        <v>3504.0</v>
      </c>
      <c r="E158" s="2">
        <f>_xlfn.IFERROR(C158-C157,0)</f>
        <v>34.0</v>
      </c>
      <c r="F158" s="1">
        <f>INT((A158-DATE(2020,1,22))/7)+1</f>
        <v>23.0</v>
      </c>
      <c r="G158" s="1" t="str">
        <f>"Week_"&amp;F158</f>
        <v>Week_23</v>
      </c>
    </row>
    <row r="159" spans="8:8" ht="15.1">
      <c r="A159" s="3">
        <v>44009.0</v>
      </c>
      <c r="B159" s="2">
        <v>137787.0</v>
      </c>
      <c r="C159" s="2">
        <v>1738.0</v>
      </c>
      <c r="D159" s="2">
        <f>_xlfn.IFERROR(B159-B158,0)</f>
        <v>3809.0</v>
      </c>
      <c r="E159" s="2">
        <f>_xlfn.IFERROR(C159-C158,0)</f>
        <v>43.0</v>
      </c>
      <c r="F159" s="1">
        <f>INT((A159-DATE(2020,1,22))/7)+1</f>
        <v>23.0</v>
      </c>
      <c r="G159" s="1" t="str">
        <f>"Week_"&amp;F159</f>
        <v>Week_23</v>
      </c>
    </row>
    <row r="160" spans="8:8" ht="15.1">
      <c r="A160" s="3">
        <v>44010.0</v>
      </c>
      <c r="B160" s="2">
        <v>141801.0</v>
      </c>
      <c r="C160" s="2">
        <v>1783.0</v>
      </c>
      <c r="D160" s="2">
        <f>_xlfn.IFERROR(B160-B159,0)</f>
        <v>4014.0</v>
      </c>
      <c r="E160" s="2">
        <f>_xlfn.IFERROR(C160-C159,0)</f>
        <v>45.0</v>
      </c>
      <c r="F160" s="1">
        <f>INT((A160-DATE(2020,1,22))/7)+1</f>
        <v>23.0</v>
      </c>
      <c r="G160" s="1" t="str">
        <f>"Week_"&amp;F160</f>
        <v>Week_23</v>
      </c>
    </row>
    <row r="161" spans="8:8" ht="15.1">
      <c r="A161" s="3">
        <v>44011.0</v>
      </c>
      <c r="B161" s="2">
        <v>145483.0</v>
      </c>
      <c r="C161" s="2">
        <v>1847.0</v>
      </c>
      <c r="D161" s="2">
        <f>_xlfn.IFERROR(B161-B160,0)</f>
        <v>3682.0</v>
      </c>
      <c r="E161" s="2">
        <f>_xlfn.IFERROR(C161-C160,0)</f>
        <v>64.0</v>
      </c>
      <c r="F161" s="1">
        <f>INT((A161-DATE(2020,1,22))/7)+1</f>
        <v>23.0</v>
      </c>
      <c r="G161" s="1" t="str">
        <f>"Week_"&amp;F161</f>
        <v>Week_23</v>
      </c>
    </row>
    <row r="162" spans="8:8" ht="15.1">
      <c r="A162" s="3">
        <v>44012.0</v>
      </c>
      <c r="B162" s="2">
        <v>149258.0</v>
      </c>
      <c r="C162" s="2">
        <v>1888.0</v>
      </c>
      <c r="D162" s="2">
        <f>_xlfn.IFERROR(B162-B161,0)</f>
        <v>3775.0</v>
      </c>
      <c r="E162" s="2">
        <f>_xlfn.IFERROR(C162-C161,0)</f>
        <v>41.0</v>
      </c>
      <c r="F162" s="1">
        <f>INT((A162-DATE(2020,1,22))/7)+1</f>
        <v>23.0</v>
      </c>
      <c r="G162" s="1" t="str">
        <f>"Week_"&amp;F162</f>
        <v>Week_23</v>
      </c>
    </row>
    <row r="163" spans="8:8" ht="15.1">
      <c r="A163" s="3">
        <v>44013.0</v>
      </c>
      <c r="B163" s="2">
        <v>153277.0</v>
      </c>
      <c r="C163" s="2">
        <v>1926.0</v>
      </c>
      <c r="D163" s="2">
        <f>_xlfn.IFERROR(B163-B162,0)</f>
        <v>4019.0</v>
      </c>
      <c r="E163" s="2">
        <f>_xlfn.IFERROR(C163-C162,0)</f>
        <v>38.0</v>
      </c>
      <c r="F163" s="1">
        <f>INT((A163-DATE(2020,1,22))/7)+1</f>
        <v>24.0</v>
      </c>
      <c r="G163" s="1" t="str">
        <f>"Week_"&amp;F163</f>
        <v>Week_24</v>
      </c>
    </row>
    <row r="164" spans="8:8" ht="15.1">
      <c r="A164" s="3">
        <v>44014.0</v>
      </c>
      <c r="B164" s="2">
        <v>156391.0</v>
      </c>
      <c r="C164" s="2">
        <v>1968.0</v>
      </c>
      <c r="D164" s="2">
        <f>_xlfn.IFERROR(B164-B163,0)</f>
        <v>3114.0</v>
      </c>
      <c r="E164" s="2">
        <f>_xlfn.IFERROR(C164-C163,0)</f>
        <v>42.0</v>
      </c>
      <c r="F164" s="1">
        <f>INT((A164-DATE(2020,1,22))/7)+1</f>
        <v>24.0</v>
      </c>
      <c r="G164" s="1" t="str">
        <f>"Week_"&amp;F164</f>
        <v>Week_24</v>
      </c>
    </row>
    <row r="165" spans="8:8" ht="15.1">
      <c r="A165" s="3">
        <v>44015.0</v>
      </c>
      <c r="B165" s="2">
        <v>159679.0</v>
      </c>
      <c r="C165" s="2">
        <v>1997.0</v>
      </c>
      <c r="D165" s="2">
        <f>_xlfn.IFERROR(B165-B164,0)</f>
        <v>3288.0</v>
      </c>
      <c r="E165" s="2">
        <f>_xlfn.IFERROR(C165-C164,0)</f>
        <v>29.0</v>
      </c>
      <c r="F165" s="1">
        <f>INT((A165-DATE(2020,1,22))/7)+1</f>
        <v>24.0</v>
      </c>
      <c r="G165" s="1" t="str">
        <f>"Week_"&amp;F165</f>
        <v>Week_24</v>
      </c>
    </row>
    <row r="166" spans="8:8" ht="15.1">
      <c r="A166" s="3">
        <v>44016.0</v>
      </c>
      <c r="B166" s="2">
        <v>162417.0</v>
      </c>
      <c r="C166" s="2">
        <v>2052.0</v>
      </c>
      <c r="D166" s="2">
        <f>_xlfn.IFERROR(B166-B165,0)</f>
        <v>2738.0</v>
      </c>
      <c r="E166" s="2">
        <f>_xlfn.IFERROR(C166-C165,0)</f>
        <v>55.0</v>
      </c>
      <c r="F166" s="1">
        <f>INT((A166-DATE(2020,1,22))/7)+1</f>
        <v>24.0</v>
      </c>
      <c r="G166" s="1" t="str">
        <f>"Week_"&amp;F166</f>
        <v>Week_24</v>
      </c>
    </row>
    <row r="167" spans="8:8" ht="15.1">
      <c r="A167" s="3">
        <v>44017.0</v>
      </c>
      <c r="B167" s="2">
        <v>165618.0</v>
      </c>
      <c r="C167" s="2">
        <v>2096.0</v>
      </c>
      <c r="D167" s="2">
        <f>_xlfn.IFERROR(B167-B166,0)</f>
        <v>3201.0</v>
      </c>
      <c r="E167" s="2">
        <f>_xlfn.IFERROR(C167-C166,0)</f>
        <v>44.0</v>
      </c>
      <c r="F167" s="1">
        <f>INT((A167-DATE(2020,1,22))/7)+1</f>
        <v>24.0</v>
      </c>
      <c r="G167" s="1" t="str">
        <f>"Week_"&amp;F167</f>
        <v>Week_24</v>
      </c>
    </row>
    <row r="168" spans="8:8" ht="15.1">
      <c r="A168" s="3">
        <v>44018.0</v>
      </c>
      <c r="B168" s="2">
        <v>168645.0</v>
      </c>
      <c r="C168" s="2">
        <v>2151.0</v>
      </c>
      <c r="D168" s="2">
        <f>_xlfn.IFERROR(B168-B167,0)</f>
        <v>3027.0</v>
      </c>
      <c r="E168" s="2">
        <f>_xlfn.IFERROR(C168-C167,0)</f>
        <v>55.0</v>
      </c>
      <c r="F168" s="1">
        <f>INT((A168-DATE(2020,1,22))/7)+1</f>
        <v>24.0</v>
      </c>
      <c r="G168" s="1" t="str">
        <f>"Week_"&amp;F168</f>
        <v>Week_24</v>
      </c>
    </row>
    <row r="169" spans="8:8" ht="15.1">
      <c r="A169" s="3">
        <v>44019.0</v>
      </c>
      <c r="B169" s="2">
        <v>172134.0</v>
      </c>
      <c r="C169" s="2">
        <v>2197.0</v>
      </c>
      <c r="D169" s="2">
        <f>_xlfn.IFERROR(B169-B168,0)</f>
        <v>3489.0</v>
      </c>
      <c r="E169" s="2">
        <f>_xlfn.IFERROR(C169-C168,0)</f>
        <v>46.0</v>
      </c>
      <c r="F169" s="1">
        <f>INT((A169-DATE(2020,1,22))/7)+1</f>
        <v>24.0</v>
      </c>
      <c r="G169" s="1" t="str">
        <f>"Week_"&amp;F169</f>
        <v>Week_24</v>
      </c>
    </row>
    <row r="170" spans="8:8" ht="15.1">
      <c r="A170" s="3">
        <v>44020.0</v>
      </c>
      <c r="B170" s="2">
        <v>175494.0</v>
      </c>
      <c r="C170" s="2">
        <v>2238.0</v>
      </c>
      <c r="D170" s="2">
        <f>_xlfn.IFERROR(B170-B169,0)</f>
        <v>3360.0</v>
      </c>
      <c r="E170" s="2">
        <f>_xlfn.IFERROR(C170-C169,0)</f>
        <v>41.0</v>
      </c>
      <c r="F170" s="1">
        <f>INT((A170-DATE(2020,1,22))/7)+1</f>
        <v>25.0</v>
      </c>
      <c r="G170" s="1" t="str">
        <f>"Week_"&amp;F170</f>
        <v>Week_25</v>
      </c>
    </row>
    <row r="171" spans="8:8" ht="15.1">
      <c r="A171" s="3">
        <v>44021.0</v>
      </c>
      <c r="B171" s="2">
        <v>178443.0</v>
      </c>
      <c r="C171" s="2">
        <v>2275.0</v>
      </c>
      <c r="D171" s="2">
        <f>_xlfn.IFERROR(B171-B170,0)</f>
        <v>2949.0</v>
      </c>
      <c r="E171" s="2">
        <f>_xlfn.IFERROR(C171-C170,0)</f>
        <v>37.0</v>
      </c>
      <c r="F171" s="1">
        <f>INT((A171-DATE(2020,1,22))/7)+1</f>
        <v>25.0</v>
      </c>
      <c r="G171" s="1" t="str">
        <f>"Week_"&amp;F171</f>
        <v>Week_25</v>
      </c>
    </row>
    <row r="172" spans="8:8" ht="15.1">
      <c r="A172" s="3">
        <v>44022.0</v>
      </c>
      <c r="B172" s="2">
        <v>181129.0</v>
      </c>
      <c r="C172" s="2">
        <v>2305.0</v>
      </c>
      <c r="D172" s="2">
        <f>_xlfn.IFERROR(B172-B171,0)</f>
        <v>2686.0</v>
      </c>
      <c r="E172" s="2">
        <f>_xlfn.IFERROR(C172-C171,0)</f>
        <v>30.0</v>
      </c>
      <c r="F172" s="1">
        <f>INT((A172-DATE(2020,1,22))/7)+1</f>
        <v>25.0</v>
      </c>
      <c r="G172" s="1" t="str">
        <f>"Week_"&amp;F172</f>
        <v>Week_25</v>
      </c>
    </row>
    <row r="173" spans="8:8" ht="15.1">
      <c r="A173" s="3">
        <v>44023.0</v>
      </c>
      <c r="B173" s="2">
        <v>183795.0</v>
      </c>
      <c r="C173" s="2">
        <v>2352.0</v>
      </c>
      <c r="D173" s="2">
        <f>_xlfn.IFERROR(B173-B172,0)</f>
        <v>2666.0</v>
      </c>
      <c r="E173" s="2">
        <f>_xlfn.IFERROR(C173-C172,0)</f>
        <v>47.0</v>
      </c>
      <c r="F173" s="1">
        <f>INT((A173-DATE(2020,1,22))/7)+1</f>
        <v>25.0</v>
      </c>
      <c r="G173" s="1" t="str">
        <f>"Week_"&amp;F173</f>
        <v>Week_25</v>
      </c>
    </row>
    <row r="174" spans="8:8" ht="15.1">
      <c r="A174" s="3">
        <v>44024.0</v>
      </c>
      <c r="B174" s="2">
        <v>186894.0</v>
      </c>
      <c r="C174" s="2">
        <v>2391.0</v>
      </c>
      <c r="D174" s="2">
        <f>_xlfn.IFERROR(B174-B173,0)</f>
        <v>3099.0</v>
      </c>
      <c r="E174" s="2">
        <f>_xlfn.IFERROR(C174-C173,0)</f>
        <v>39.0</v>
      </c>
      <c r="F174" s="1">
        <f>INT((A174-DATE(2020,1,22))/7)+1</f>
        <v>25.0</v>
      </c>
      <c r="G174" s="1" t="str">
        <f>"Week_"&amp;F174</f>
        <v>Week_25</v>
      </c>
    </row>
    <row r="175" spans="8:8" ht="15.1">
      <c r="A175" s="3">
        <v>44025.0</v>
      </c>
      <c r="B175" s="2">
        <v>190057.0</v>
      </c>
      <c r="C175" s="2">
        <v>2424.0</v>
      </c>
      <c r="D175" s="2">
        <f>_xlfn.IFERROR(B175-B174,0)</f>
        <v>3163.0</v>
      </c>
      <c r="E175" s="2">
        <f>_xlfn.IFERROR(C175-C174,0)</f>
        <v>33.0</v>
      </c>
      <c r="F175" s="1">
        <f>INT((A175-DATE(2020,1,22))/7)+1</f>
        <v>25.0</v>
      </c>
      <c r="G175" s="1" t="str">
        <f>"Week_"&amp;F175</f>
        <v>Week_25</v>
      </c>
    </row>
    <row r="176" spans="8:8" ht="15.1">
      <c r="A176" s="3">
        <v>44026.0</v>
      </c>
      <c r="B176" s="2">
        <v>193590.0</v>
      </c>
      <c r="C176" s="2">
        <v>2457.0</v>
      </c>
      <c r="D176" s="2">
        <f>_xlfn.IFERROR(B176-B175,0)</f>
        <v>3533.0</v>
      </c>
      <c r="E176" s="2">
        <f>_xlfn.IFERROR(C176-C175,0)</f>
        <v>33.0</v>
      </c>
      <c r="F176" s="1">
        <f>INT((A176-DATE(2020,1,22))/7)+1</f>
        <v>25.0</v>
      </c>
      <c r="G176" s="1" t="str">
        <f>"Week_"&amp;F176</f>
        <v>Week_25</v>
      </c>
    </row>
    <row r="177" spans="8:8" ht="15.1">
      <c r="A177" s="3">
        <v>44027.0</v>
      </c>
      <c r="B177" s="2">
        <v>196323.0</v>
      </c>
      <c r="C177" s="2">
        <v>2496.0</v>
      </c>
      <c r="D177" s="2">
        <f>_xlfn.IFERROR(B177-B176,0)</f>
        <v>2733.0</v>
      </c>
      <c r="E177" s="2">
        <f>_xlfn.IFERROR(C177-C176,0)</f>
        <v>39.0</v>
      </c>
      <c r="F177" s="1">
        <f>INT((A177-DATE(2020,1,22))/7)+1</f>
        <v>26.0</v>
      </c>
      <c r="G177" s="1" t="str">
        <f>"Week_"&amp;F177</f>
        <v>Week_26</v>
      </c>
    </row>
    <row r="178" spans="8:8" ht="15.1">
      <c r="A178" s="3">
        <v>44028.0</v>
      </c>
      <c r="B178" s="2">
        <v>199357.0</v>
      </c>
      <c r="C178" s="2">
        <v>2547.0</v>
      </c>
      <c r="D178" s="2">
        <f>_xlfn.IFERROR(B178-B177,0)</f>
        <v>3034.0</v>
      </c>
      <c r="E178" s="2">
        <f>_xlfn.IFERROR(C178-C177,0)</f>
        <v>51.0</v>
      </c>
      <c r="F178" s="1">
        <f>INT((A178-DATE(2020,1,22))/7)+1</f>
        <v>26.0</v>
      </c>
      <c r="G178" s="1" t="str">
        <f>"Week_"&amp;F178</f>
        <v>Week_26</v>
      </c>
    </row>
    <row r="179" spans="8:8" ht="15.1">
      <c r="A179" s="3">
        <v>44029.0</v>
      </c>
      <c r="B179" s="2">
        <v>202066.0</v>
      </c>
      <c r="C179" s="2">
        <v>2581.0</v>
      </c>
      <c r="D179" s="2">
        <f>_xlfn.IFERROR(B179-B178,0)</f>
        <v>2709.0</v>
      </c>
      <c r="E179" s="2">
        <f>_xlfn.IFERROR(C179-C178,0)</f>
        <v>34.0</v>
      </c>
      <c r="F179" s="1">
        <f>INT((A179-DATE(2020,1,22))/7)+1</f>
        <v>26.0</v>
      </c>
      <c r="G179" s="1" t="str">
        <f>"Week_"&amp;F179</f>
        <v>Week_26</v>
      </c>
    </row>
    <row r="180" spans="8:8" ht="15.1">
      <c r="A180" s="3">
        <v>44030.0</v>
      </c>
      <c r="B180" s="2">
        <v>204525.0</v>
      </c>
      <c r="C180" s="2">
        <v>2618.0</v>
      </c>
      <c r="D180" s="2">
        <f>_xlfn.IFERROR(B180-B179,0)</f>
        <v>2459.0</v>
      </c>
      <c r="E180" s="2">
        <f>_xlfn.IFERROR(C180-C179,0)</f>
        <v>37.0</v>
      </c>
      <c r="F180" s="1">
        <f>INT((A180-DATE(2020,1,22))/7)+1</f>
        <v>26.0</v>
      </c>
      <c r="G180" s="1" t="str">
        <f>"Week_"&amp;F180</f>
        <v>Week_26</v>
      </c>
    </row>
    <row r="181" spans="8:8" ht="15.1">
      <c r="A181" s="3">
        <v>44031.0</v>
      </c>
      <c r="B181" s="2">
        <v>207453.0</v>
      </c>
      <c r="C181" s="2">
        <v>2668.0</v>
      </c>
      <c r="D181" s="2">
        <f>_xlfn.IFERROR(B181-B180,0)</f>
        <v>2928.0</v>
      </c>
      <c r="E181" s="2">
        <f>_xlfn.IFERROR(C181-C180,0)</f>
        <v>50.0</v>
      </c>
      <c r="F181" s="1">
        <f>INT((A181-DATE(2020,1,22))/7)+1</f>
        <v>26.0</v>
      </c>
      <c r="G181" s="1" t="str">
        <f>"Week_"&amp;F181</f>
        <v>Week_26</v>
      </c>
    </row>
    <row r="182" spans="8:8" ht="15.1">
      <c r="A182" s="3">
        <v>44032.0</v>
      </c>
      <c r="B182" s="2">
        <v>210510.0</v>
      </c>
      <c r="C182" s="2">
        <v>2709.0</v>
      </c>
      <c r="D182" s="2">
        <f>_xlfn.IFERROR(B182-B181,0)</f>
        <v>3057.0</v>
      </c>
      <c r="E182" s="2">
        <f>_xlfn.IFERROR(C182-C181,0)</f>
        <v>41.0</v>
      </c>
      <c r="F182" s="1">
        <f>INT((A182-DATE(2020,1,22))/7)+1</f>
        <v>26.0</v>
      </c>
      <c r="G182" s="1" t="str">
        <f>"Week_"&amp;F182</f>
        <v>Week_26</v>
      </c>
    </row>
    <row r="183" spans="8:8" ht="15.1">
      <c r="A183" s="3">
        <v>44033.0</v>
      </c>
      <c r="B183" s="2">
        <v>213254.0</v>
      </c>
      <c r="C183" s="2">
        <v>2751.0</v>
      </c>
      <c r="D183" s="2">
        <f>_xlfn.IFERROR(B183-B182,0)</f>
        <v>2744.0</v>
      </c>
      <c r="E183" s="2">
        <f>_xlfn.IFERROR(C183-C182,0)</f>
        <v>42.0</v>
      </c>
      <c r="F183" s="1">
        <f>INT((A183-DATE(2020,1,22))/7)+1</f>
        <v>26.0</v>
      </c>
      <c r="G183" s="1" t="str">
        <f>"Week_"&amp;F183</f>
        <v>Week_26</v>
      </c>
    </row>
    <row r="184" spans="8:8" ht="15.1">
      <c r="A184" s="3">
        <v>44034.0</v>
      </c>
      <c r="B184" s="2">
        <v>216110.0</v>
      </c>
      <c r="C184" s="2">
        <v>2801.0</v>
      </c>
      <c r="D184" s="2">
        <f>_xlfn.IFERROR(B184-B183,0)</f>
        <v>2856.0</v>
      </c>
      <c r="E184" s="2">
        <f>_xlfn.IFERROR(C184-C183,0)</f>
        <v>50.0</v>
      </c>
      <c r="F184" s="1">
        <f>INT((A184-DATE(2020,1,22))/7)+1</f>
        <v>27.0</v>
      </c>
      <c r="G184" s="1" t="str">
        <f>"Week_"&amp;F184</f>
        <v>Week_27</v>
      </c>
    </row>
    <row r="185" spans="8:8" ht="15.1">
      <c r="A185" s="3">
        <v>44035.0</v>
      </c>
      <c r="B185" s="2">
        <v>218658.0</v>
      </c>
      <c r="C185" s="2">
        <v>2836.0</v>
      </c>
      <c r="D185" s="2">
        <f>_xlfn.IFERROR(B185-B184,0)</f>
        <v>2548.0</v>
      </c>
      <c r="E185" s="2">
        <f>_xlfn.IFERROR(C185-C184,0)</f>
        <v>35.0</v>
      </c>
      <c r="F185" s="1">
        <f>INT((A185-DATE(2020,1,22))/7)+1</f>
        <v>27.0</v>
      </c>
      <c r="G185" s="1" t="str">
        <f>"Week_"&amp;F185</f>
        <v>Week_27</v>
      </c>
    </row>
    <row r="186" spans="8:8" ht="15.1">
      <c r="A186" s="3">
        <v>44036.0</v>
      </c>
      <c r="B186" s="2">
        <v>221178.0</v>
      </c>
      <c r="C186" s="2">
        <v>2874.0</v>
      </c>
      <c r="D186" s="2">
        <f>_xlfn.IFERROR(B186-B185,0)</f>
        <v>2520.0</v>
      </c>
      <c r="E186" s="2">
        <f>_xlfn.IFERROR(C186-C185,0)</f>
        <v>38.0</v>
      </c>
      <c r="F186" s="1">
        <f>INT((A186-DATE(2020,1,22))/7)+1</f>
        <v>27.0</v>
      </c>
      <c r="G186" s="1" t="str">
        <f>"Week_"&amp;F186</f>
        <v>Week_27</v>
      </c>
    </row>
    <row r="187" spans="8:8" ht="15.1">
      <c r="A187" s="3">
        <v>44037.0</v>
      </c>
      <c r="B187" s="2">
        <v>223453.0</v>
      </c>
      <c r="C187" s="2">
        <v>2928.0</v>
      </c>
      <c r="D187" s="2">
        <f>_xlfn.IFERROR(B187-B186,0)</f>
        <v>2275.0</v>
      </c>
      <c r="E187" s="2">
        <f>_xlfn.IFERROR(C187-C186,0)</f>
        <v>54.0</v>
      </c>
      <c r="F187" s="1">
        <f>INT((A187-DATE(2020,1,22))/7)+1</f>
        <v>27.0</v>
      </c>
      <c r="G187" s="1" t="str">
        <f>"Week_"&amp;F187</f>
        <v>Week_27</v>
      </c>
    </row>
    <row r="188" spans="8:8" ht="15.1">
      <c r="A188" s="3">
        <v>44038.0</v>
      </c>
      <c r="B188" s="2">
        <v>226225.0</v>
      </c>
      <c r="C188" s="2">
        <v>2965.0</v>
      </c>
      <c r="D188" s="2">
        <f>_xlfn.IFERROR(B188-B187,0)</f>
        <v>2772.0</v>
      </c>
      <c r="E188" s="2">
        <f>_xlfn.IFERROR(C188-C187,0)</f>
        <v>37.0</v>
      </c>
      <c r="F188" s="1">
        <f>INT((A188-DATE(2020,1,22))/7)+1</f>
        <v>27.0</v>
      </c>
      <c r="G188" s="1" t="str">
        <f>"Week_"&amp;F188</f>
        <v>Week_27</v>
      </c>
    </row>
    <row r="189" spans="8:8" ht="15.1">
      <c r="A189" s="3">
        <v>44039.0</v>
      </c>
      <c r="B189" s="2">
        <v>229185.0</v>
      </c>
      <c r="C189" s="2">
        <v>3000.0</v>
      </c>
      <c r="D189" s="2">
        <f>_xlfn.IFERROR(B189-B188,0)</f>
        <v>2960.0</v>
      </c>
      <c r="E189" s="2">
        <f>_xlfn.IFERROR(C189-C188,0)</f>
        <v>35.0</v>
      </c>
      <c r="F189" s="1">
        <f>INT((A189-DATE(2020,1,22))/7)+1</f>
        <v>27.0</v>
      </c>
      <c r="G189" s="1" t="str">
        <f>"Week_"&amp;F189</f>
        <v>Week_27</v>
      </c>
    </row>
    <row r="190" spans="8:8" ht="15.1">
      <c r="A190" s="3">
        <v>44040.0</v>
      </c>
      <c r="B190" s="2">
        <v>232194.0</v>
      </c>
      <c r="C190" s="2">
        <v>3035.0</v>
      </c>
      <c r="D190" s="2">
        <f>_xlfn.IFERROR(B190-B189,0)</f>
        <v>3009.0</v>
      </c>
      <c r="E190" s="2">
        <f>_xlfn.IFERROR(C190-C189,0)</f>
        <v>35.0</v>
      </c>
      <c r="F190" s="1">
        <f>INT((A190-DATE(2020,1,22))/7)+1</f>
        <v>27.0</v>
      </c>
      <c r="G190" s="1" t="str">
        <f>"Week_"&amp;F190</f>
        <v>Week_27</v>
      </c>
    </row>
    <row r="191" spans="8:8" ht="15.1">
      <c r="A191" s="3">
        <v>44041.0</v>
      </c>
      <c r="B191" s="2">
        <v>234889.0</v>
      </c>
      <c r="C191" s="2">
        <v>3083.0</v>
      </c>
      <c r="D191" s="2">
        <f>_xlfn.IFERROR(B191-B190,0)</f>
        <v>2695.0</v>
      </c>
      <c r="E191" s="2">
        <f>_xlfn.IFERROR(C191-C190,0)</f>
        <v>48.0</v>
      </c>
      <c r="F191" s="1">
        <f>INT((A191-DATE(2020,1,22))/7)+1</f>
        <v>28.0</v>
      </c>
      <c r="G191" s="1" t="str">
        <f>"Week_"&amp;F191</f>
        <v>Week_28</v>
      </c>
    </row>
    <row r="192" spans="8:8" ht="15.1">
      <c r="A192" s="3">
        <v>44042.0</v>
      </c>
      <c r="B192" s="2">
        <v>237661.0</v>
      </c>
      <c r="C192" s="2">
        <v>3111.0</v>
      </c>
      <c r="D192" s="2">
        <f>_xlfn.IFERROR(B192-B191,0)</f>
        <v>2772.0</v>
      </c>
      <c r="E192" s="2">
        <f>_xlfn.IFERROR(C192-C191,0)</f>
        <v>28.0</v>
      </c>
      <c r="F192" s="1">
        <f>INT((A192-DATE(2020,1,22))/7)+1</f>
        <v>28.0</v>
      </c>
      <c r="G192" s="1" t="str">
        <f>"Week_"&amp;F192</f>
        <v>Week_28</v>
      </c>
    </row>
    <row r="193" spans="8:8" ht="15.1">
      <c r="A193" s="3">
        <v>44043.0</v>
      </c>
      <c r="B193" s="2">
        <v>239860.0</v>
      </c>
      <c r="C193" s="2">
        <v>3132.0</v>
      </c>
      <c r="D193" s="2">
        <f>_xlfn.IFERROR(B193-B192,0)</f>
        <v>2199.0</v>
      </c>
      <c r="E193" s="2">
        <f>_xlfn.IFERROR(C193-C192,0)</f>
        <v>21.0</v>
      </c>
      <c r="F193" s="1">
        <f>INT((A193-DATE(2020,1,22))/7)+1</f>
        <v>28.0</v>
      </c>
      <c r="G193" s="1" t="str">
        <f>"Week_"&amp;F193</f>
        <v>Week_28</v>
      </c>
    </row>
    <row r="194" spans="8:8" ht="15.1">
      <c r="A194" s="3">
        <v>44044.0</v>
      </c>
      <c r="B194" s="2">
        <v>240746.0</v>
      </c>
      <c r="C194" s="2">
        <v>3154.0</v>
      </c>
      <c r="D194" s="2">
        <f>_xlfn.IFERROR(B194-B193,0)</f>
        <v>886.0</v>
      </c>
      <c r="E194" s="2">
        <f>_xlfn.IFERROR(C194-C193,0)</f>
        <v>22.0</v>
      </c>
      <c r="F194" s="1">
        <f>INT((A194-DATE(2020,1,22))/7)+1</f>
        <v>28.0</v>
      </c>
      <c r="G194" s="1" t="str">
        <f>"Week_"&amp;F194</f>
        <v>Week_28</v>
      </c>
    </row>
    <row r="195" spans="8:8" ht="15.1">
      <c r="A195" s="3">
        <v>44045.0</v>
      </c>
      <c r="B195" s="2">
        <v>242102.0</v>
      </c>
      <c r="C195" s="2">
        <v>3184.0</v>
      </c>
      <c r="D195" s="2">
        <f>_xlfn.IFERROR(B195-B194,0)</f>
        <v>1356.0</v>
      </c>
      <c r="E195" s="2">
        <f>_xlfn.IFERROR(C195-C194,0)</f>
        <v>30.0</v>
      </c>
      <c r="F195" s="1">
        <f>INT((A195-DATE(2020,1,22))/7)+1</f>
        <v>28.0</v>
      </c>
      <c r="G195" s="1" t="str">
        <f>"Week_"&amp;F195</f>
        <v>Week_28</v>
      </c>
    </row>
    <row r="196" spans="8:8" ht="15.1">
      <c r="A196" s="3">
        <v>44046.0</v>
      </c>
      <c r="B196" s="2">
        <v>244020.0</v>
      </c>
      <c r="C196" s="2">
        <v>3234.0</v>
      </c>
      <c r="D196" s="2">
        <f>_xlfn.IFERROR(B196-B195,0)</f>
        <v>1918.0</v>
      </c>
      <c r="E196" s="2">
        <f>_xlfn.IFERROR(C196-C195,0)</f>
        <v>50.0</v>
      </c>
      <c r="F196" s="1">
        <f>INT((A196-DATE(2020,1,22))/7)+1</f>
        <v>28.0</v>
      </c>
      <c r="G196" s="1" t="str">
        <f>"Week_"&amp;F196</f>
        <v>Week_28</v>
      </c>
    </row>
    <row r="197" spans="8:8" ht="15.1">
      <c r="A197" s="3">
        <v>44047.0</v>
      </c>
      <c r="B197" s="2">
        <v>246674.0</v>
      </c>
      <c r="C197" s="2">
        <v>3267.0</v>
      </c>
      <c r="D197" s="2">
        <f>_xlfn.IFERROR(B197-B196,0)</f>
        <v>2654.0</v>
      </c>
      <c r="E197" s="2">
        <f>_xlfn.IFERROR(C197-C196,0)</f>
        <v>33.0</v>
      </c>
      <c r="F197" s="1">
        <f>INT((A197-DATE(2020,1,22))/7)+1</f>
        <v>28.0</v>
      </c>
      <c r="G197" s="1" t="str">
        <f>"Week_"&amp;F197</f>
        <v>Week_28</v>
      </c>
    </row>
    <row r="198" spans="8:8" ht="15.1">
      <c r="A198" s="3">
        <v>44048.0</v>
      </c>
      <c r="B198" s="2">
        <v>249651.0</v>
      </c>
      <c r="C198" s="2">
        <v>3306.0</v>
      </c>
      <c r="D198" s="2">
        <f>_xlfn.IFERROR(B198-B197,0)</f>
        <v>2977.0</v>
      </c>
      <c r="E198" s="2">
        <f>_xlfn.IFERROR(C198-C197,0)</f>
        <v>39.0</v>
      </c>
      <c r="F198" s="1">
        <f>INT((A198-DATE(2020,1,22))/7)+1</f>
        <v>29.0</v>
      </c>
      <c r="G198" s="1" t="str">
        <f>"Week_"&amp;F198</f>
        <v>Week_29</v>
      </c>
    </row>
    <row r="199" spans="8:8" ht="15.1">
      <c r="A199" s="3">
        <v>44049.0</v>
      </c>
      <c r="B199" s="2">
        <v>252502.0</v>
      </c>
      <c r="C199" s="2">
        <v>3333.0</v>
      </c>
      <c r="D199" s="2">
        <f>_xlfn.IFERROR(B199-B198,0)</f>
        <v>2851.0</v>
      </c>
      <c r="E199" s="2">
        <f>_xlfn.IFERROR(C199-C198,0)</f>
        <v>27.0</v>
      </c>
      <c r="F199" s="1">
        <f>INT((A199-DATE(2020,1,22))/7)+1</f>
        <v>29.0</v>
      </c>
      <c r="G199" s="1" t="str">
        <f>"Week_"&amp;F199</f>
        <v>Week_29</v>
      </c>
    </row>
    <row r="200" spans="8:8" ht="15.1">
      <c r="A200" s="3">
        <v>44050.0</v>
      </c>
      <c r="B200" s="2">
        <v>255113.0</v>
      </c>
      <c r="C200" s="2">
        <v>3365.0</v>
      </c>
      <c r="D200" s="2">
        <f>_xlfn.IFERROR(B200-B199,0)</f>
        <v>2611.0</v>
      </c>
      <c r="E200" s="2">
        <f>_xlfn.IFERROR(C200-C199,0)</f>
        <v>32.0</v>
      </c>
      <c r="F200" s="1">
        <f>INT((A200-DATE(2020,1,22))/7)+1</f>
        <v>29.0</v>
      </c>
      <c r="G200" s="1" t="str">
        <f>"Week_"&amp;F200</f>
        <v>Week_29</v>
      </c>
    </row>
    <row r="201" spans="8:8" ht="15.1">
      <c r="A201" s="3">
        <v>44051.0</v>
      </c>
      <c r="B201" s="2">
        <v>257600.0</v>
      </c>
      <c r="C201" s="2">
        <v>3399.0</v>
      </c>
      <c r="D201" s="2">
        <f>_xlfn.IFERROR(B201-B200,0)</f>
        <v>2487.0</v>
      </c>
      <c r="E201" s="2">
        <f>_xlfn.IFERROR(C201-C200,0)</f>
        <v>34.0</v>
      </c>
      <c r="F201" s="1">
        <f>INT((A201-DATE(2020,1,22))/7)+1</f>
        <v>29.0</v>
      </c>
      <c r="G201" s="1" t="str">
        <f>"Week_"&amp;F201</f>
        <v>Week_29</v>
      </c>
    </row>
    <row r="202" spans="8:8" ht="15.1">
      <c r="A202" s="3">
        <v>44052.0</v>
      </c>
      <c r="B202" s="2">
        <v>260507.0</v>
      </c>
      <c r="C202" s="2">
        <v>3438.0</v>
      </c>
      <c r="D202" s="2">
        <f>_xlfn.IFERROR(B202-B201,0)</f>
        <v>2907.0</v>
      </c>
      <c r="E202" s="2">
        <f>_xlfn.IFERROR(C202-C201,0)</f>
        <v>39.0</v>
      </c>
      <c r="F202" s="1">
        <f>INT((A202-DATE(2020,1,22))/7)+1</f>
        <v>29.0</v>
      </c>
      <c r="G202" s="1" t="str">
        <f>"Week_"&amp;F202</f>
        <v>Week_29</v>
      </c>
    </row>
    <row r="203" spans="8:8" ht="15.1">
      <c r="A203" s="3">
        <v>44053.0</v>
      </c>
      <c r="B203" s="2">
        <v>263503.0</v>
      </c>
      <c r="C203" s="2">
        <v>3471.0</v>
      </c>
      <c r="D203" s="2">
        <f>_xlfn.IFERROR(B203-B202,0)</f>
        <v>2996.0</v>
      </c>
      <c r="E203" s="2">
        <f>_xlfn.IFERROR(C203-C202,0)</f>
        <v>33.0</v>
      </c>
      <c r="F203" s="1">
        <f>INT((A203-DATE(2020,1,22))/7)+1</f>
        <v>29.0</v>
      </c>
      <c r="G203" s="1" t="str">
        <f>"Week_"&amp;F203</f>
        <v>Week_29</v>
      </c>
    </row>
    <row r="204" spans="8:8" ht="15.1">
      <c r="A204" s="3">
        <v>44054.0</v>
      </c>
      <c r="B204" s="2">
        <v>266498.0</v>
      </c>
      <c r="C204" s="2">
        <v>3513.0</v>
      </c>
      <c r="D204" s="2">
        <f>_xlfn.IFERROR(B204-B203,0)</f>
        <v>2995.0</v>
      </c>
      <c r="E204" s="2">
        <f>_xlfn.IFERROR(C204-C203,0)</f>
        <v>42.0</v>
      </c>
      <c r="F204" s="1">
        <f>INT((A204-DATE(2020,1,22))/7)+1</f>
        <v>29.0</v>
      </c>
      <c r="G204" s="1" t="str">
        <f>"Week_"&amp;F204</f>
        <v>Week_29</v>
      </c>
    </row>
    <row r="205" spans="8:8" ht="15.1">
      <c r="A205" s="3">
        <v>44055.0</v>
      </c>
      <c r="B205" s="2">
        <v>269115.0</v>
      </c>
      <c r="C205" s="2">
        <v>3557.0</v>
      </c>
      <c r="D205" s="2">
        <f>_xlfn.IFERROR(B205-B204,0)</f>
        <v>2617.0</v>
      </c>
      <c r="E205" s="2">
        <f>_xlfn.IFERROR(C205-C204,0)</f>
        <v>44.0</v>
      </c>
      <c r="F205" s="1">
        <f>INT((A205-DATE(2020,1,22))/7)+1</f>
        <v>30.0</v>
      </c>
      <c r="G205" s="1" t="str">
        <f>"Week_"&amp;F205</f>
        <v>Week_30</v>
      </c>
    </row>
    <row r="206" spans="8:8" ht="15.1">
      <c r="A206" s="3">
        <v>44056.0</v>
      </c>
      <c r="B206" s="2">
        <v>271881.0</v>
      </c>
      <c r="C206" s="2">
        <v>3591.0</v>
      </c>
      <c r="D206" s="2">
        <f>_xlfn.IFERROR(B206-B205,0)</f>
        <v>2766.0</v>
      </c>
      <c r="E206" s="2">
        <f>_xlfn.IFERROR(C206-C205,0)</f>
        <v>34.0</v>
      </c>
      <c r="F206" s="1">
        <f>INT((A206-DATE(2020,1,22))/7)+1</f>
        <v>30.0</v>
      </c>
      <c r="G206" s="1" t="str">
        <f>"Week_"&amp;F206</f>
        <v>Week_30</v>
      </c>
    </row>
    <row r="207" spans="8:8" ht="15.1">
      <c r="A207" s="3">
        <v>44057.0</v>
      </c>
      <c r="B207" s="2">
        <v>274525.0</v>
      </c>
      <c r="C207" s="2">
        <v>3625.0</v>
      </c>
      <c r="D207" s="2">
        <f>_xlfn.IFERROR(B207-B206,0)</f>
        <v>2644.0</v>
      </c>
      <c r="E207" s="2">
        <f>_xlfn.IFERROR(C207-C206,0)</f>
        <v>34.0</v>
      </c>
      <c r="F207" s="1">
        <f>INT((A207-DATE(2020,1,22))/7)+1</f>
        <v>30.0</v>
      </c>
      <c r="G207" s="1" t="str">
        <f>"Week_"&amp;F207</f>
        <v>Week_30</v>
      </c>
    </row>
    <row r="208" spans="8:8" ht="15.1">
      <c r="A208" s="3">
        <v>44058.0</v>
      </c>
      <c r="B208" s="2">
        <v>276549.0</v>
      </c>
      <c r="C208" s="2">
        <v>3657.0</v>
      </c>
      <c r="D208" s="2">
        <f>_xlfn.IFERROR(B208-B207,0)</f>
        <v>2024.0</v>
      </c>
      <c r="E208" s="2">
        <f>_xlfn.IFERROR(C208-C207,0)</f>
        <v>32.0</v>
      </c>
      <c r="F208" s="1">
        <f>INT((A208-DATE(2020,1,22))/7)+1</f>
        <v>30.0</v>
      </c>
      <c r="G208" s="1" t="str">
        <f>"Week_"&amp;F208</f>
        <v>Week_30</v>
      </c>
    </row>
    <row r="209" spans="8:8" ht="15.1">
      <c r="A209" s="3">
        <v>44059.0</v>
      </c>
      <c r="B209" s="2">
        <v>279144.0</v>
      </c>
      <c r="C209" s="2">
        <v>3694.0</v>
      </c>
      <c r="D209" s="2">
        <f>_xlfn.IFERROR(B209-B208,0)</f>
        <v>2595.0</v>
      </c>
      <c r="E209" s="2">
        <f>_xlfn.IFERROR(C209-C208,0)</f>
        <v>37.0</v>
      </c>
      <c r="F209" s="1">
        <f>INT((A209-DATE(2020,1,22))/7)+1</f>
        <v>30.0</v>
      </c>
      <c r="G209" s="1" t="str">
        <f>"Week_"&amp;F209</f>
        <v>Week_30</v>
      </c>
    </row>
    <row r="210" spans="8:8" ht="15.1">
      <c r="A210" s="3">
        <v>44060.0</v>
      </c>
      <c r="B210" s="2">
        <v>282344.0</v>
      </c>
      <c r="C210" s="2">
        <v>3740.0</v>
      </c>
      <c r="D210" s="2">
        <f>_xlfn.IFERROR(B210-B209,0)</f>
        <v>3200.0</v>
      </c>
      <c r="E210" s="2">
        <f>_xlfn.IFERROR(C210-C209,0)</f>
        <v>46.0</v>
      </c>
      <c r="F210" s="1">
        <f>INT((A210-DATE(2020,1,22))/7)+1</f>
        <v>30.0</v>
      </c>
      <c r="G210" s="1" t="str">
        <f>"Week_"&amp;F210</f>
        <v>Week_30</v>
      </c>
    </row>
    <row r="211" spans="8:8" ht="15.1">
      <c r="A211" s="3">
        <v>44061.0</v>
      </c>
      <c r="B211" s="2">
        <v>285091.0</v>
      </c>
      <c r="C211" s="2">
        <v>3781.0</v>
      </c>
      <c r="D211" s="2">
        <f>_xlfn.IFERROR(B211-B210,0)</f>
        <v>2747.0</v>
      </c>
      <c r="E211" s="2">
        <f>_xlfn.IFERROR(C211-C210,0)</f>
        <v>41.0</v>
      </c>
      <c r="F211" s="1">
        <f>INT((A211-DATE(2020,1,22))/7)+1</f>
        <v>30.0</v>
      </c>
      <c r="G211" s="1" t="str">
        <f>"Week_"&amp;F211</f>
        <v>Week_30</v>
      </c>
    </row>
    <row r="212" spans="8:8" ht="15.1">
      <c r="A212" s="3">
        <v>44062.0</v>
      </c>
      <c r="B212" s="2">
        <v>287959.0</v>
      </c>
      <c r="C212" s="2">
        <v>3822.0</v>
      </c>
      <c r="D212" s="2">
        <f>_xlfn.IFERROR(B212-B211,0)</f>
        <v>2868.0</v>
      </c>
      <c r="E212" s="2">
        <f>_xlfn.IFERROR(C212-C211,0)</f>
        <v>41.0</v>
      </c>
      <c r="F212" s="1">
        <f>INT((A212-DATE(2020,1,22))/7)+1</f>
        <v>31.0</v>
      </c>
      <c r="G212" s="1" t="str">
        <f>"Week_"&amp;F212</f>
        <v>Week_31</v>
      </c>
    </row>
    <row r="213" spans="8:8" ht="15.1">
      <c r="A213" s="3">
        <v>44063.0</v>
      </c>
      <c r="B213" s="2">
        <v>290360.0</v>
      </c>
      <c r="C213" s="2">
        <v>3861.0</v>
      </c>
      <c r="D213" s="2">
        <f>_xlfn.IFERROR(B213-B212,0)</f>
        <v>2401.0</v>
      </c>
      <c r="E213" s="2">
        <f>_xlfn.IFERROR(C213-C212,0)</f>
        <v>39.0</v>
      </c>
      <c r="F213" s="1">
        <f>INT((A213-DATE(2020,1,22))/7)+1</f>
        <v>31.0</v>
      </c>
      <c r="G213" s="1" t="str">
        <f>"Week_"&amp;F213</f>
        <v>Week_31</v>
      </c>
    </row>
    <row r="214" spans="8:8" ht="15.1">
      <c r="A214" s="3">
        <v>44064.0</v>
      </c>
      <c r="B214" s="2">
        <v>292625.0</v>
      </c>
      <c r="C214" s="2">
        <v>3907.0</v>
      </c>
      <c r="D214" s="2">
        <f>_xlfn.IFERROR(B214-B213,0)</f>
        <v>2265.0</v>
      </c>
      <c r="E214" s="2">
        <f>_xlfn.IFERROR(C214-C213,0)</f>
        <v>46.0</v>
      </c>
      <c r="F214" s="1">
        <f>INT((A214-DATE(2020,1,22))/7)+1</f>
        <v>31.0</v>
      </c>
      <c r="G214" s="1" t="str">
        <f>"Week_"&amp;F214</f>
        <v>Week_31</v>
      </c>
    </row>
    <row r="215" spans="8:8" ht="15.1">
      <c r="A215" s="3">
        <v>44065.0</v>
      </c>
      <c r="B215" s="2">
        <v>294598.0</v>
      </c>
      <c r="C215" s="2">
        <v>3941.0</v>
      </c>
      <c r="D215" s="2">
        <f>_xlfn.IFERROR(B215-B214,0)</f>
        <v>1973.0</v>
      </c>
      <c r="E215" s="2">
        <f>_xlfn.IFERROR(C215-C214,0)</f>
        <v>34.0</v>
      </c>
      <c r="F215" s="1">
        <f>INT((A215-DATE(2020,1,22))/7)+1</f>
        <v>31.0</v>
      </c>
      <c r="G215" s="1" t="str">
        <f>"Week_"&amp;F215</f>
        <v>Week_31</v>
      </c>
    </row>
    <row r="216" spans="8:8" ht="15.1">
      <c r="A216" s="3">
        <v>44066.0</v>
      </c>
      <c r="B216" s="2">
        <v>297083.0</v>
      </c>
      <c r="C216" s="2">
        <v>3983.0</v>
      </c>
      <c r="D216" s="2">
        <f>_xlfn.IFERROR(B216-B215,0)</f>
        <v>2485.0</v>
      </c>
      <c r="E216" s="2">
        <f>_xlfn.IFERROR(C216-C215,0)</f>
        <v>42.0</v>
      </c>
      <c r="F216" s="1">
        <f>INT((A216-DATE(2020,1,22))/7)+1</f>
        <v>31.0</v>
      </c>
      <c r="G216" s="1" t="str">
        <f>"Week_"&amp;F216</f>
        <v>Week_31</v>
      </c>
    </row>
    <row r="217" spans="8:8" ht="15.1">
      <c r="A217" s="3">
        <v>44067.0</v>
      </c>
      <c r="B217" s="2">
        <v>299628.0</v>
      </c>
      <c r="C217" s="2">
        <v>4028.0</v>
      </c>
      <c r="D217" s="2">
        <f>_xlfn.IFERROR(B217-B216,0)</f>
        <v>2545.0</v>
      </c>
      <c r="E217" s="2">
        <f>_xlfn.IFERROR(C217-C216,0)</f>
        <v>45.0</v>
      </c>
      <c r="F217" s="1">
        <f>INT((A217-DATE(2020,1,22))/7)+1</f>
        <v>31.0</v>
      </c>
      <c r="G217" s="1" t="str">
        <f>"Week_"&amp;F217</f>
        <v>Week_31</v>
      </c>
    </row>
    <row r="218" spans="8:8" ht="15.1">
      <c r="A218" s="3">
        <v>44068.0</v>
      </c>
      <c r="B218" s="2">
        <v>302147.0</v>
      </c>
      <c r="C218" s="2">
        <v>4082.0</v>
      </c>
      <c r="D218" s="2">
        <f>_xlfn.IFERROR(B218-B217,0)</f>
        <v>2519.0</v>
      </c>
      <c r="E218" s="2">
        <f>_xlfn.IFERROR(C218-C217,0)</f>
        <v>54.0</v>
      </c>
      <c r="F218" s="1">
        <f>INT((A218-DATE(2020,1,22))/7)+1</f>
        <v>31.0</v>
      </c>
      <c r="G218" s="1" t="str">
        <f>"Week_"&amp;F218</f>
        <v>Week_31</v>
      </c>
    </row>
    <row r="219" spans="8:8" ht="15.1">
      <c r="A219" s="3">
        <v>44069.0</v>
      </c>
      <c r="B219" s="2">
        <v>304583.0</v>
      </c>
      <c r="C219" s="2">
        <v>4127.0</v>
      </c>
      <c r="D219" s="2">
        <f>_xlfn.IFERROR(B219-B218,0)</f>
        <v>2436.0</v>
      </c>
      <c r="E219" s="2">
        <f>_xlfn.IFERROR(C219-C218,0)</f>
        <v>45.0</v>
      </c>
      <c r="F219" s="1">
        <f>INT((A219-DATE(2020,1,22))/7)+1</f>
        <v>32.0</v>
      </c>
      <c r="G219" s="1" t="str">
        <f>"Week_"&amp;F219</f>
        <v>Week_32</v>
      </c>
    </row>
    <row r="220" spans="8:8" ht="15.1">
      <c r="A220" s="3">
        <v>44070.0</v>
      </c>
      <c r="B220" s="2">
        <v>306794.0</v>
      </c>
      <c r="C220" s="2">
        <v>4174.0</v>
      </c>
      <c r="D220" s="2">
        <f>_xlfn.IFERROR(B220-B219,0)</f>
        <v>2211.0</v>
      </c>
      <c r="E220" s="2">
        <f>_xlfn.IFERROR(C220-C219,0)</f>
        <v>47.0</v>
      </c>
      <c r="F220" s="1">
        <f>INT((A220-DATE(2020,1,22))/7)+1</f>
        <v>32.0</v>
      </c>
      <c r="G220" s="1" t="str">
        <f>"Week_"&amp;F220</f>
        <v>Week_32</v>
      </c>
    </row>
    <row r="221" spans="8:8" ht="15.1">
      <c r="A221" s="3">
        <v>44071.0</v>
      </c>
      <c r="B221" s="2">
        <v>308925.0</v>
      </c>
      <c r="C221" s="2">
        <v>4206.0</v>
      </c>
      <c r="D221" s="2">
        <f>_xlfn.IFERROR(B221-B220,0)</f>
        <v>2131.0</v>
      </c>
      <c r="E221" s="2">
        <f>_xlfn.IFERROR(C221-C220,0)</f>
        <v>32.0</v>
      </c>
      <c r="F221" s="1">
        <f>INT((A221-DATE(2020,1,22))/7)+1</f>
        <v>32.0</v>
      </c>
      <c r="G221" s="1" t="str">
        <f>"Week_"&amp;F221</f>
        <v>Week_32</v>
      </c>
    </row>
    <row r="222" spans="8:8" ht="15.1">
      <c r="A222" s="3">
        <v>44072.0</v>
      </c>
      <c r="B222" s="2">
        <v>310822.0</v>
      </c>
      <c r="C222" s="2">
        <v>4248.0</v>
      </c>
      <c r="D222" s="2">
        <f>_xlfn.IFERROR(B222-B221,0)</f>
        <v>1897.0</v>
      </c>
      <c r="E222" s="2">
        <f>_xlfn.IFERROR(C222-C221,0)</f>
        <v>42.0</v>
      </c>
      <c r="F222" s="1">
        <f>INT((A222-DATE(2020,1,22))/7)+1</f>
        <v>32.0</v>
      </c>
      <c r="G222" s="1" t="str">
        <f>"Week_"&amp;F222</f>
        <v>Week_32</v>
      </c>
    </row>
    <row r="223" spans="8:8" ht="15.1">
      <c r="A223" s="3">
        <v>44073.0</v>
      </c>
      <c r="B223" s="2">
        <v>312996.0</v>
      </c>
      <c r="C223" s="2">
        <v>4281.0</v>
      </c>
      <c r="D223" s="2">
        <f>_xlfn.IFERROR(B223-B222,0)</f>
        <v>2174.0</v>
      </c>
      <c r="E223" s="2">
        <f>_xlfn.IFERROR(C223-C222,0)</f>
        <v>33.0</v>
      </c>
      <c r="F223" s="1">
        <f>INT((A223-DATE(2020,1,22))/7)+1</f>
        <v>32.0</v>
      </c>
      <c r="G223" s="1" t="str">
        <f>"Week_"&amp;F223</f>
        <v>Week_32</v>
      </c>
    </row>
    <row r="224" spans="8:8" ht="15.1">
      <c r="A224" s="3">
        <v>44074.0</v>
      </c>
      <c r="B224" s="2">
        <v>314946.0</v>
      </c>
      <c r="C224" s="2">
        <v>4316.0</v>
      </c>
      <c r="D224" s="2">
        <f>_xlfn.IFERROR(B224-B223,0)</f>
        <v>1950.0</v>
      </c>
      <c r="E224" s="2">
        <f>_xlfn.IFERROR(C224-C223,0)</f>
        <v>35.0</v>
      </c>
      <c r="F224" s="1">
        <f>INT((A224-DATE(2020,1,22))/7)+1</f>
        <v>32.0</v>
      </c>
      <c r="G224" s="1" t="str">
        <f>"Week_"&amp;F224</f>
        <v>Week_32</v>
      </c>
    </row>
    <row r="225" spans="8:8" ht="15.1">
      <c r="A225" s="3">
        <v>44075.0</v>
      </c>
      <c r="B225" s="2">
        <v>317528.0</v>
      </c>
      <c r="C225" s="2">
        <v>4351.0</v>
      </c>
      <c r="D225" s="2">
        <f>_xlfn.IFERROR(B225-B224,0)</f>
        <v>2582.0</v>
      </c>
      <c r="E225" s="2">
        <f>_xlfn.IFERROR(C225-C224,0)</f>
        <v>35.0</v>
      </c>
      <c r="F225" s="1">
        <f>INT((A225-DATE(2020,1,22))/7)+1</f>
        <v>32.0</v>
      </c>
      <c r="G225" s="1" t="str">
        <f>"Week_"&amp;F225</f>
        <v>Week_32</v>
      </c>
    </row>
    <row r="226" spans="8:8" ht="15.1">
      <c r="A226" s="3">
        <v>44076.0</v>
      </c>
      <c r="B226" s="2">
        <v>319686.0</v>
      </c>
      <c r="C226" s="2">
        <v>4383.0</v>
      </c>
      <c r="D226" s="2">
        <f>_xlfn.IFERROR(B226-B225,0)</f>
        <v>2158.0</v>
      </c>
      <c r="E226" s="2">
        <f>_xlfn.IFERROR(C226-C225,0)</f>
        <v>32.0</v>
      </c>
      <c r="F226" s="1">
        <f>INT((A226-DATE(2020,1,22))/7)+1</f>
        <v>33.0</v>
      </c>
      <c r="G226" s="1" t="str">
        <f>"Week_"&amp;F226</f>
        <v>Week_33</v>
      </c>
    </row>
    <row r="227" spans="8:8" ht="15.1">
      <c r="A227" s="3">
        <v>44077.0</v>
      </c>
      <c r="B227" s="2">
        <v>321615.0</v>
      </c>
      <c r="C227" s="2">
        <v>4412.0</v>
      </c>
      <c r="D227" s="2">
        <f>_xlfn.IFERROR(B227-B226,0)</f>
        <v>1929.0</v>
      </c>
      <c r="E227" s="2">
        <f>_xlfn.IFERROR(C227-C226,0)</f>
        <v>29.0</v>
      </c>
      <c r="F227" s="1">
        <f>INT((A227-DATE(2020,1,22))/7)+1</f>
        <v>33.0</v>
      </c>
      <c r="G227" s="1" t="str">
        <f>"Week_"&amp;F227</f>
        <v>Week_33</v>
      </c>
    </row>
    <row r="228" spans="8:8" ht="15.1">
      <c r="A228" s="3">
        <v>44078.0</v>
      </c>
      <c r="B228" s="2">
        <v>323565.0</v>
      </c>
      <c r="C228" s="2">
        <v>4447.0</v>
      </c>
      <c r="D228" s="2">
        <f>_xlfn.IFERROR(B228-B227,0)</f>
        <v>1950.0</v>
      </c>
      <c r="E228" s="2">
        <f>_xlfn.IFERROR(C228-C227,0)</f>
        <v>35.0</v>
      </c>
      <c r="F228" s="1">
        <f>INT((A228-DATE(2020,1,22))/7)+1</f>
        <v>33.0</v>
      </c>
      <c r="G228" s="1" t="str">
        <f>"Week_"&amp;F228</f>
        <v>Week_33</v>
      </c>
    </row>
    <row r="229" spans="8:8" ht="15.1">
      <c r="A229" s="3">
        <v>44079.0</v>
      </c>
      <c r="B229" s="2">
        <v>325157.0</v>
      </c>
      <c r="C229" s="2">
        <v>4479.0</v>
      </c>
      <c r="D229" s="2">
        <f>_xlfn.IFERROR(B229-B228,0)</f>
        <v>1592.0</v>
      </c>
      <c r="E229" s="2">
        <f>_xlfn.IFERROR(C229-C228,0)</f>
        <v>32.0</v>
      </c>
      <c r="F229" s="1">
        <f>INT((A229-DATE(2020,1,22))/7)+1</f>
        <v>33.0</v>
      </c>
      <c r="G229" s="1" t="str">
        <f>"Week_"&amp;F229</f>
        <v>Week_33</v>
      </c>
    </row>
    <row r="230" spans="8:8" ht="15.1">
      <c r="A230" s="3">
        <v>44080.0</v>
      </c>
      <c r="B230" s="2">
        <v>327359.0</v>
      </c>
      <c r="C230" s="2">
        <v>4516.0</v>
      </c>
      <c r="D230" s="2">
        <f>_xlfn.IFERROR(B230-B229,0)</f>
        <v>2202.0</v>
      </c>
      <c r="E230" s="2">
        <f>_xlfn.IFERROR(C230-C229,0)</f>
        <v>37.0</v>
      </c>
      <c r="F230" s="1">
        <f>INT((A230-DATE(2020,1,22))/7)+1</f>
        <v>33.0</v>
      </c>
      <c r="G230" s="1" t="str">
        <f>"Week_"&amp;F230</f>
        <v>Week_33</v>
      </c>
    </row>
    <row r="231" spans="8:8" ht="15.1">
      <c r="A231" s="3">
        <v>44081.0</v>
      </c>
      <c r="B231" s="2">
        <v>329251.0</v>
      </c>
      <c r="C231" s="2">
        <v>4552.0</v>
      </c>
      <c r="D231" s="2">
        <f>_xlfn.IFERROR(B231-B230,0)</f>
        <v>1892.0</v>
      </c>
      <c r="E231" s="2">
        <f>_xlfn.IFERROR(C231-C230,0)</f>
        <v>36.0</v>
      </c>
      <c r="F231" s="1">
        <f>INT((A231-DATE(2020,1,22))/7)+1</f>
        <v>33.0</v>
      </c>
      <c r="G231" s="1" t="str">
        <f>"Week_"&amp;F231</f>
        <v>Week_33</v>
      </c>
    </row>
    <row r="232" spans="8:8" ht="15.1">
      <c r="A232" s="3">
        <v>44082.0</v>
      </c>
      <c r="B232" s="2">
        <v>331078.0</v>
      </c>
      <c r="C232" s="2">
        <v>4593.0</v>
      </c>
      <c r="D232" s="2">
        <f>_xlfn.IFERROR(B232-B231,0)</f>
        <v>1827.0</v>
      </c>
      <c r="E232" s="2">
        <f>_xlfn.IFERROR(C232-C231,0)</f>
        <v>41.0</v>
      </c>
      <c r="F232" s="1">
        <f>INT((A232-DATE(2020,1,22))/7)+1</f>
        <v>33.0</v>
      </c>
      <c r="G232" s="1" t="str">
        <f>"Week_"&amp;F232</f>
        <v>Week_33</v>
      </c>
    </row>
    <row r="233" spans="8:8" ht="15.1">
      <c r="A233" s="3">
        <v>44083.0</v>
      </c>
      <c r="B233" s="2">
        <v>332970.0</v>
      </c>
      <c r="C233" s="2">
        <v>4634.0</v>
      </c>
      <c r="D233" s="2">
        <f>_xlfn.IFERROR(B233-B232,0)</f>
        <v>1892.0</v>
      </c>
      <c r="E233" s="2">
        <f>_xlfn.IFERROR(C233-C232,0)</f>
        <v>41.0</v>
      </c>
      <c r="F233" s="1">
        <f>INT((A233-DATE(2020,1,22))/7)+1</f>
        <v>34.0</v>
      </c>
      <c r="G233" s="1" t="str">
        <f>"Week_"&amp;F233</f>
        <v>Week_34</v>
      </c>
    </row>
    <row r="234" spans="8:8" ht="15.1">
      <c r="A234" s="3">
        <v>44084.0</v>
      </c>
      <c r="B234" s="2">
        <v>334762.0</v>
      </c>
      <c r="C234" s="2">
        <v>4668.0</v>
      </c>
      <c r="D234" s="2">
        <f>_xlfn.IFERROR(B234-B233,0)</f>
        <v>1792.0</v>
      </c>
      <c r="E234" s="2">
        <f>_xlfn.IFERROR(C234-C233,0)</f>
        <v>34.0</v>
      </c>
      <c r="F234" s="1">
        <f>INT((A234-DATE(2020,1,22))/7)+1</f>
        <v>34.0</v>
      </c>
      <c r="G234" s="1" t="str">
        <f>"Week_"&amp;F234</f>
        <v>Week_34</v>
      </c>
    </row>
    <row r="235" spans="8:8" ht="15.1">
      <c r="A235" s="3">
        <v>44085.0</v>
      </c>
      <c r="B235" s="2">
        <v>336044.0</v>
      </c>
      <c r="C235" s="2">
        <v>4702.0</v>
      </c>
      <c r="D235" s="2">
        <f>_xlfn.IFERROR(B235-B234,0)</f>
        <v>1282.0</v>
      </c>
      <c r="E235" s="2">
        <f>_xlfn.IFERROR(C235-C234,0)</f>
        <v>34.0</v>
      </c>
      <c r="F235" s="1">
        <f>INT((A235-DATE(2020,1,22))/7)+1</f>
        <v>34.0</v>
      </c>
      <c r="G235" s="1" t="str">
        <f>"Week_"&amp;F235</f>
        <v>Week_34</v>
      </c>
    </row>
    <row r="236" spans="8:8" ht="15.1">
      <c r="A236" s="3">
        <v>44086.0</v>
      </c>
      <c r="B236" s="2">
        <v>337520.0</v>
      </c>
      <c r="C236" s="2">
        <v>4733.0</v>
      </c>
      <c r="D236" s="2">
        <f>_xlfn.IFERROR(B236-B235,0)</f>
        <v>1476.0</v>
      </c>
      <c r="E236" s="2">
        <f>_xlfn.IFERROR(C236-C235,0)</f>
        <v>31.0</v>
      </c>
      <c r="F236" s="1">
        <f>INT((A236-DATE(2020,1,22))/7)+1</f>
        <v>34.0</v>
      </c>
      <c r="G236" s="1" t="str">
        <f>"Week_"&amp;F236</f>
        <v>Week_34</v>
      </c>
    </row>
    <row r="237" spans="8:8" ht="15.1">
      <c r="A237" s="3">
        <v>44087.0</v>
      </c>
      <c r="B237" s="2">
        <v>339332.0</v>
      </c>
      <c r="C237" s="2">
        <v>4759.0</v>
      </c>
      <c r="D237" s="2">
        <f>_xlfn.IFERROR(B237-B236,0)</f>
        <v>1812.0</v>
      </c>
      <c r="E237" s="2">
        <f>_xlfn.IFERROR(C237-C236,0)</f>
        <v>26.0</v>
      </c>
      <c r="F237" s="1">
        <f>INT((A237-DATE(2020,1,22))/7)+1</f>
        <v>34.0</v>
      </c>
      <c r="G237" s="1" t="str">
        <f>"Week_"&amp;F237</f>
        <v>Week_34</v>
      </c>
    </row>
    <row r="238" spans="8:8" ht="15.1">
      <c r="A238" s="3">
        <v>44088.0</v>
      </c>
      <c r="B238" s="2">
        <v>341056.0</v>
      </c>
      <c r="C238" s="2">
        <v>4802.0</v>
      </c>
      <c r="D238" s="2">
        <f>_xlfn.IFERROR(B238-B237,0)</f>
        <v>1724.0</v>
      </c>
      <c r="E238" s="2">
        <f>_xlfn.IFERROR(C238-C237,0)</f>
        <v>43.0</v>
      </c>
      <c r="F238" s="1">
        <f>INT((A238-DATE(2020,1,22))/7)+1</f>
        <v>34.0</v>
      </c>
      <c r="G238" s="1" t="str">
        <f>"Week_"&amp;F238</f>
        <v>Week_34</v>
      </c>
    </row>
    <row r="239" spans="8:8" ht="15.1">
      <c r="A239" s="3">
        <v>44089.0</v>
      </c>
      <c r="B239" s="2">
        <v>342671.0</v>
      </c>
      <c r="C239" s="2">
        <v>4823.0</v>
      </c>
      <c r="D239" s="2">
        <f>_xlfn.IFERROR(B239-B238,0)</f>
        <v>1615.0</v>
      </c>
      <c r="E239" s="2">
        <f>_xlfn.IFERROR(C239-C238,0)</f>
        <v>21.0</v>
      </c>
      <c r="F239" s="1">
        <f>INT((A239-DATE(2020,1,22))/7)+1</f>
        <v>34.0</v>
      </c>
      <c r="G239" s="1" t="str">
        <f>"Week_"&amp;F239</f>
        <v>Week_34</v>
      </c>
    </row>
    <row r="240" spans="8:8" ht="15.1">
      <c r="A240" s="3">
        <v>44090.0</v>
      </c>
      <c r="B240" s="2">
        <v>344264.0</v>
      </c>
      <c r="C240" s="2">
        <v>4859.0</v>
      </c>
      <c r="D240" s="2">
        <f>_xlfn.IFERROR(B240-B239,0)</f>
        <v>1593.0</v>
      </c>
      <c r="E240" s="2">
        <f>_xlfn.IFERROR(C240-C239,0)</f>
        <v>36.0</v>
      </c>
      <c r="F240" s="1">
        <f>INT((A240-DATE(2020,1,22))/7)+1</f>
        <v>35.0</v>
      </c>
      <c r="G240" s="1" t="str">
        <f>"Week_"&amp;F240</f>
        <v>Week_35</v>
      </c>
    </row>
    <row r="241" spans="8:8" ht="15.1">
      <c r="A241" s="3">
        <v>44091.0</v>
      </c>
      <c r="B241" s="2">
        <v>345805.0</v>
      </c>
      <c r="C241" s="2">
        <v>4881.0</v>
      </c>
      <c r="D241" s="2">
        <f>_xlfn.IFERROR(B241-B240,0)</f>
        <v>1541.0</v>
      </c>
      <c r="E241" s="2">
        <f>_xlfn.IFERROR(C241-C240,0)</f>
        <v>22.0</v>
      </c>
      <c r="F241" s="1">
        <f>INT((A241-DATE(2020,1,22))/7)+1</f>
        <v>35.0</v>
      </c>
      <c r="G241" s="1" t="str">
        <f>"Week_"&amp;F241</f>
        <v>Week_35</v>
      </c>
    </row>
    <row r="242" spans="8:8" ht="15.1">
      <c r="A242" s="3">
        <v>44092.0</v>
      </c>
      <c r="B242" s="2">
        <v>347372.0</v>
      </c>
      <c r="C242" s="2">
        <v>4913.0</v>
      </c>
      <c r="D242" s="2">
        <f>_xlfn.IFERROR(B242-B241,0)</f>
        <v>1567.0</v>
      </c>
      <c r="E242" s="2">
        <f>_xlfn.IFERROR(C242-C241,0)</f>
        <v>32.0</v>
      </c>
      <c r="F242" s="1">
        <f>INT((A242-DATE(2020,1,22))/7)+1</f>
        <v>35.0</v>
      </c>
      <c r="G242" s="1" t="str">
        <f>"Week_"&amp;F242</f>
        <v>Week_35</v>
      </c>
    </row>
    <row r="243" spans="8:8" ht="15.1">
      <c r="A243" s="3">
        <v>44093.0</v>
      </c>
      <c r="B243" s="2">
        <v>348918.0</v>
      </c>
      <c r="C243" s="2">
        <v>4939.0</v>
      </c>
      <c r="D243" s="2">
        <f>_xlfn.IFERROR(B243-B242,0)</f>
        <v>1546.0</v>
      </c>
      <c r="E243" s="2">
        <f>_xlfn.IFERROR(C243-C242,0)</f>
        <v>26.0</v>
      </c>
      <c r="F243" s="1">
        <f>INT((A243-DATE(2020,1,22))/7)+1</f>
        <v>35.0</v>
      </c>
      <c r="G243" s="1" t="str">
        <f>"Week_"&amp;F243</f>
        <v>Week_35</v>
      </c>
    </row>
    <row r="244" spans="8:8" ht="15.1">
      <c r="A244" s="3">
        <v>44094.0</v>
      </c>
      <c r="B244" s="2">
        <v>350621.0</v>
      </c>
      <c r="C244" s="2">
        <v>4979.0</v>
      </c>
      <c r="D244" s="2">
        <f>_xlfn.IFERROR(B244-B243,0)</f>
        <v>1703.0</v>
      </c>
      <c r="E244" s="2">
        <f>_xlfn.IFERROR(C244-C243,0)</f>
        <v>40.0</v>
      </c>
      <c r="F244" s="1">
        <f>INT((A244-DATE(2020,1,22))/7)+1</f>
        <v>35.0</v>
      </c>
      <c r="G244" s="1" t="str">
        <f>"Week_"&amp;F244</f>
        <v>Week_35</v>
      </c>
    </row>
    <row r="245" spans="8:8" ht="15.1">
      <c r="A245" s="3">
        <v>44095.0</v>
      </c>
      <c r="B245" s="2">
        <v>352178.0</v>
      </c>
      <c r="C245" s="2">
        <v>5007.0</v>
      </c>
      <c r="D245" s="2">
        <f>_xlfn.IFERROR(B245-B244,0)</f>
        <v>1557.0</v>
      </c>
      <c r="E245" s="2">
        <f>_xlfn.IFERROR(C245-C244,0)</f>
        <v>28.0</v>
      </c>
      <c r="F245" s="1">
        <f>INT((A245-DATE(2020,1,22))/7)+1</f>
        <v>35.0</v>
      </c>
      <c r="G245" s="1" t="str">
        <f>"Week_"&amp;F245</f>
        <v>Week_35</v>
      </c>
    </row>
    <row r="246" spans="8:8" ht="15.1">
      <c r="A246" s="3">
        <v>44096.0</v>
      </c>
      <c r="B246" s="2">
        <v>353844.0</v>
      </c>
      <c r="C246" s="2">
        <v>5044.0</v>
      </c>
      <c r="D246" s="2">
        <f>_xlfn.IFERROR(B246-B245,0)</f>
        <v>1666.0</v>
      </c>
      <c r="E246" s="2">
        <f>_xlfn.IFERROR(C246-C245,0)</f>
        <v>37.0</v>
      </c>
      <c r="F246" s="1">
        <f>INT((A246-DATE(2020,1,22))/7)+1</f>
        <v>35.0</v>
      </c>
      <c r="G246" s="1" t="str">
        <f>"Week_"&amp;F246</f>
        <v>Week_35</v>
      </c>
    </row>
    <row r="247" spans="8:8" ht="15.1">
      <c r="A247" s="3">
        <v>44097.0</v>
      </c>
      <c r="B247" s="2">
        <v>355384.0</v>
      </c>
      <c r="C247" s="2">
        <v>5072.0</v>
      </c>
      <c r="D247" s="2">
        <f>_xlfn.IFERROR(B247-B246,0)</f>
        <v>1540.0</v>
      </c>
      <c r="E247" s="2">
        <f>_xlfn.IFERROR(C247-C246,0)</f>
        <v>28.0</v>
      </c>
      <c r="F247" s="1">
        <f>INT((A247-DATE(2020,1,22))/7)+1</f>
        <v>36.0</v>
      </c>
      <c r="G247" s="1" t="str">
        <f>"Week_"&amp;F247</f>
        <v>Week_36</v>
      </c>
    </row>
    <row r="248" spans="8:8" ht="15.1">
      <c r="A248" s="3">
        <v>44098.0</v>
      </c>
      <c r="B248" s="2">
        <v>356767.0</v>
      </c>
      <c r="C248" s="2">
        <v>5093.0</v>
      </c>
      <c r="D248" s="2">
        <f>_xlfn.IFERROR(B248-B247,0)</f>
        <v>1383.0</v>
      </c>
      <c r="E248" s="2">
        <f>_xlfn.IFERROR(C248-C247,0)</f>
        <v>21.0</v>
      </c>
      <c r="F248" s="1">
        <f>INT((A248-DATE(2020,1,22))/7)+1</f>
        <v>36.0</v>
      </c>
      <c r="G248" s="1" t="str">
        <f>"Week_"&amp;F248</f>
        <v>Week_36</v>
      </c>
    </row>
    <row r="249" spans="8:8" ht="15.1">
      <c r="A249" s="3">
        <v>44099.0</v>
      </c>
      <c r="B249" s="2">
        <v>357873.0</v>
      </c>
      <c r="C249" s="2">
        <v>5129.0</v>
      </c>
      <c r="D249" s="2">
        <f>_xlfn.IFERROR(B249-B248,0)</f>
        <v>1106.0</v>
      </c>
      <c r="E249" s="2">
        <f>_xlfn.IFERROR(C249-C248,0)</f>
        <v>36.0</v>
      </c>
      <c r="F249" s="1">
        <f>INT((A249-DATE(2020,1,22))/7)+1</f>
        <v>36.0</v>
      </c>
      <c r="G249" s="1" t="str">
        <f>"Week_"&amp;F249</f>
        <v>Week_36</v>
      </c>
    </row>
    <row r="250" spans="8:8" ht="15.1">
      <c r="A250" s="3">
        <v>44100.0</v>
      </c>
      <c r="B250" s="2">
        <v>359148.0</v>
      </c>
      <c r="C250" s="2">
        <v>5161.0</v>
      </c>
      <c r="D250" s="2">
        <f>_xlfn.IFERROR(B250-B249,0)</f>
        <v>1275.0</v>
      </c>
      <c r="E250" s="2">
        <f>_xlfn.IFERROR(C250-C249,0)</f>
        <v>32.0</v>
      </c>
      <c r="F250" s="1">
        <f>INT((A250-DATE(2020,1,22))/7)+1</f>
        <v>36.0</v>
      </c>
      <c r="G250" s="1" t="str">
        <f>"Week_"&amp;F250</f>
        <v>Week_36</v>
      </c>
    </row>
    <row r="251" spans="8:8" ht="15.1">
      <c r="A251" s="3">
        <v>44101.0</v>
      </c>
      <c r="B251" s="2">
        <v>360555.0</v>
      </c>
      <c r="C251" s="2">
        <v>5193.0</v>
      </c>
      <c r="D251" s="2">
        <f>_xlfn.IFERROR(B251-B250,0)</f>
        <v>1407.0</v>
      </c>
      <c r="E251" s="2">
        <f>_xlfn.IFERROR(C251-C250,0)</f>
        <v>32.0</v>
      </c>
      <c r="F251" s="1">
        <f>INT((A251-DATE(2020,1,22))/7)+1</f>
        <v>36.0</v>
      </c>
      <c r="G251" s="1" t="str">
        <f>"Week_"&amp;F251</f>
        <v>Week_36</v>
      </c>
    </row>
    <row r="252" spans="8:8" ht="15.1">
      <c r="A252" s="3">
        <v>44102.0</v>
      </c>
      <c r="B252" s="2">
        <v>362043.0</v>
      </c>
      <c r="C252" s="2">
        <v>5219.0</v>
      </c>
      <c r="D252" s="2">
        <f>_xlfn.IFERROR(B252-B251,0)</f>
        <v>1488.0</v>
      </c>
      <c r="E252" s="2">
        <f>_xlfn.IFERROR(C252-C251,0)</f>
        <v>26.0</v>
      </c>
      <c r="F252" s="1">
        <f>INT((A252-DATE(2020,1,22))/7)+1</f>
        <v>36.0</v>
      </c>
      <c r="G252" s="1" t="str">
        <f>"Week_"&amp;F252</f>
        <v>Week_36</v>
      </c>
    </row>
    <row r="253" spans="8:8" ht="15.1">
      <c r="A253" s="3">
        <v>44103.0</v>
      </c>
      <c r="B253" s="2">
        <v>363479.0</v>
      </c>
      <c r="C253" s="2">
        <v>5251.0</v>
      </c>
      <c r="D253" s="2">
        <f>_xlfn.IFERROR(B253-B252,0)</f>
        <v>1436.0</v>
      </c>
      <c r="E253" s="2">
        <f>_xlfn.IFERROR(C253-C252,0)</f>
        <v>32.0</v>
      </c>
      <c r="F253" s="1">
        <f>INT((A253-DATE(2020,1,22))/7)+1</f>
        <v>36.0</v>
      </c>
      <c r="G253" s="1" t="str">
        <f>"Week_"&amp;F253</f>
        <v>Week_36</v>
      </c>
    </row>
    <row r="254" spans="8:8" ht="15.1">
      <c r="A254" s="3">
        <v>44104.0</v>
      </c>
      <c r="B254" s="2">
        <v>364987.0</v>
      </c>
      <c r="C254" s="2">
        <v>5272.0</v>
      </c>
      <c r="D254" s="2">
        <f>_xlfn.IFERROR(B254-B253,0)</f>
        <v>1508.0</v>
      </c>
      <c r="E254" s="2">
        <f>_xlfn.IFERROR(C254-C253,0)</f>
        <v>21.0</v>
      </c>
      <c r="F254" s="1">
        <f>INT((A254-DATE(2020,1,22))/7)+1</f>
        <v>37.0</v>
      </c>
      <c r="G254" s="1" t="str">
        <f>"Week_"&amp;F254</f>
        <v>Week_37</v>
      </c>
    </row>
    <row r="255" spans="8:8" ht="15.1">
      <c r="A255" s="3">
        <v>44105.0</v>
      </c>
      <c r="B255" s="2">
        <v>366383.0</v>
      </c>
      <c r="C255" s="2">
        <v>5305.0</v>
      </c>
      <c r="D255" s="2">
        <f>_xlfn.IFERROR(B255-B254,0)</f>
        <v>1396.0</v>
      </c>
      <c r="E255" s="2">
        <f>_xlfn.IFERROR(C255-C254,0)</f>
        <v>33.0</v>
      </c>
      <c r="F255" s="1">
        <f>INT((A255-DATE(2020,1,22))/7)+1</f>
        <v>37.0</v>
      </c>
      <c r="G255" s="1" t="str">
        <f>"Week_"&amp;F255</f>
        <v>Week_37</v>
      </c>
    </row>
    <row r="256" spans="8:8" ht="15.1">
      <c r="A256" s="3">
        <v>44106.0</v>
      </c>
      <c r="B256" s="2">
        <v>367565.0</v>
      </c>
      <c r="C256" s="2">
        <v>5325.0</v>
      </c>
      <c r="D256" s="2">
        <f>_xlfn.IFERROR(B256-B255,0)</f>
        <v>1182.0</v>
      </c>
      <c r="E256" s="2">
        <f>_xlfn.IFERROR(C256-C255,0)</f>
        <v>20.0</v>
      </c>
      <c r="F256" s="1">
        <f>INT((A256-DATE(2020,1,22))/7)+1</f>
        <v>37.0</v>
      </c>
      <c r="G256" s="1" t="str">
        <f>"Week_"&amp;F256</f>
        <v>Week_37</v>
      </c>
    </row>
    <row r="257" spans="8:8" ht="15.1">
      <c r="A257" s="3">
        <v>44107.0</v>
      </c>
      <c r="B257" s="2">
        <v>368690.0</v>
      </c>
      <c r="C257" s="2">
        <v>5348.0</v>
      </c>
      <c r="D257" s="2">
        <f>_xlfn.IFERROR(B257-B256,0)</f>
        <v>1125.0</v>
      </c>
      <c r="E257" s="2">
        <f>_xlfn.IFERROR(C257-C256,0)</f>
        <v>23.0</v>
      </c>
      <c r="F257" s="1">
        <f>INT((A257-DATE(2020,1,22))/7)+1</f>
        <v>37.0</v>
      </c>
      <c r="G257" s="1" t="str">
        <f>"Week_"&amp;F257</f>
        <v>Week_37</v>
      </c>
    </row>
    <row r="258" spans="8:8" ht="15.1">
      <c r="A258" s="3">
        <v>44108.0</v>
      </c>
      <c r="B258" s="2">
        <v>370132.0</v>
      </c>
      <c r="C258" s="2">
        <v>5375.0</v>
      </c>
      <c r="D258" s="2">
        <f>_xlfn.IFERROR(B258-B257,0)</f>
        <v>1442.0</v>
      </c>
      <c r="E258" s="2">
        <f>_xlfn.IFERROR(C258-C257,0)</f>
        <v>27.0</v>
      </c>
      <c r="F258" s="1">
        <f>INT((A258-DATE(2020,1,22))/7)+1</f>
        <v>37.0</v>
      </c>
      <c r="G258" s="1" t="str">
        <f>"Week_"&amp;F258</f>
        <v>Week_37</v>
      </c>
    </row>
    <row r="259" spans="8:8" ht="15.1">
      <c r="A259" s="3">
        <v>44109.0</v>
      </c>
      <c r="B259" s="2">
        <v>371631.0</v>
      </c>
      <c r="C259" s="2">
        <v>5405.0</v>
      </c>
      <c r="D259" s="2">
        <f>_xlfn.IFERROR(B259-B258,0)</f>
        <v>1499.0</v>
      </c>
      <c r="E259" s="2">
        <f>_xlfn.IFERROR(C259-C258,0)</f>
        <v>30.0</v>
      </c>
      <c r="F259" s="1">
        <f>INT((A259-DATE(2020,1,22))/7)+1</f>
        <v>37.0</v>
      </c>
      <c r="G259" s="1" t="str">
        <f>"Week_"&amp;F259</f>
        <v>Week_37</v>
      </c>
    </row>
    <row r="260" spans="8:8" ht="15.1">
      <c r="A260" s="3">
        <v>44110.0</v>
      </c>
      <c r="B260" s="2">
        <v>373151.0</v>
      </c>
      <c r="C260" s="2">
        <v>5440.0</v>
      </c>
      <c r="D260" s="2">
        <f>_xlfn.IFERROR(B260-B259,0)</f>
        <v>1520.0</v>
      </c>
      <c r="E260" s="2">
        <f>_xlfn.IFERROR(C260-C259,0)</f>
        <v>35.0</v>
      </c>
      <c r="F260" s="1">
        <f>INT((A260-DATE(2020,1,22))/7)+1</f>
        <v>37.0</v>
      </c>
      <c r="G260" s="1" t="str">
        <f>"Week_"&amp;F260</f>
        <v>Week_37</v>
      </c>
    </row>
    <row r="261" spans="8:8" ht="15.1">
      <c r="A261" s="3">
        <v>44111.0</v>
      </c>
      <c r="B261" s="2">
        <v>374592.0</v>
      </c>
      <c r="C261" s="2">
        <v>5460.0</v>
      </c>
      <c r="D261" s="2">
        <f>_xlfn.IFERROR(B261-B260,0)</f>
        <v>1441.0</v>
      </c>
      <c r="E261" s="2">
        <f>_xlfn.IFERROR(C261-C260,0)</f>
        <v>20.0</v>
      </c>
      <c r="F261" s="1">
        <f>INT((A261-DATE(2020,1,22))/7)+1</f>
        <v>38.0</v>
      </c>
      <c r="G261" s="1" t="str">
        <f>"Week_"&amp;F261</f>
        <v>Week_38</v>
      </c>
    </row>
    <row r="262" spans="8:8" ht="15.1">
      <c r="A262" s="3">
        <v>44112.0</v>
      </c>
      <c r="B262" s="2">
        <v>375870.0</v>
      </c>
      <c r="C262" s="2">
        <v>5477.0</v>
      </c>
      <c r="D262" s="2">
        <f>_xlfn.IFERROR(B262-B261,0)</f>
        <v>1278.0</v>
      </c>
      <c r="E262" s="2">
        <f>_xlfn.IFERROR(C262-C261,0)</f>
        <v>17.0</v>
      </c>
      <c r="F262" s="1">
        <f>INT((A262-DATE(2020,1,22))/7)+1</f>
        <v>38.0</v>
      </c>
      <c r="G262" s="1" t="str">
        <f>"Week_"&amp;F262</f>
        <v>Week_38</v>
      </c>
    </row>
    <row r="263" spans="8:8" ht="15.1">
      <c r="A263" s="3">
        <v>44113.0</v>
      </c>
      <c r="B263" s="2">
        <v>377073.0</v>
      </c>
      <c r="C263" s="2">
        <v>5500.0</v>
      </c>
      <c r="D263" s="2">
        <f>_xlfn.IFERROR(B263-B262,0)</f>
        <v>1203.0</v>
      </c>
      <c r="E263" s="2">
        <f>_xlfn.IFERROR(C263-C262,0)</f>
        <v>23.0</v>
      </c>
      <c r="F263" s="1">
        <f>INT((A263-DATE(2020,1,22))/7)+1</f>
        <v>38.0</v>
      </c>
      <c r="G263" s="1" t="str">
        <f>"Week_"&amp;F263</f>
        <v>Week_38</v>
      </c>
    </row>
    <row r="264" spans="8:8" ht="15.1">
      <c r="A264" s="3">
        <v>44114.0</v>
      </c>
      <c r="B264" s="2">
        <v>378266.0</v>
      </c>
      <c r="C264" s="2">
        <v>5524.0</v>
      </c>
      <c r="D264" s="2">
        <f>_xlfn.IFERROR(B264-B263,0)</f>
        <v>1193.0</v>
      </c>
      <c r="E264" s="2">
        <f>_xlfn.IFERROR(C264-C263,0)</f>
        <v>24.0</v>
      </c>
      <c r="F264" s="1">
        <f>INT((A264-DATE(2020,1,22))/7)+1</f>
        <v>38.0</v>
      </c>
      <c r="G264" s="1" t="str">
        <f>"Week_"&amp;F264</f>
        <v>Week_38</v>
      </c>
    </row>
    <row r="265" spans="8:8" ht="15.1">
      <c r="A265" s="3">
        <v>44115.0</v>
      </c>
      <c r="B265" s="2">
        <v>379738.0</v>
      </c>
      <c r="C265" s="2">
        <v>5555.0</v>
      </c>
      <c r="D265" s="2">
        <f>_xlfn.IFERROR(B265-B264,0)</f>
        <v>1472.0</v>
      </c>
      <c r="E265" s="2">
        <f>_xlfn.IFERROR(C265-C264,0)</f>
        <v>31.0</v>
      </c>
      <c r="F265" s="1">
        <f>INT((A265-DATE(2020,1,22))/7)+1</f>
        <v>38.0</v>
      </c>
      <c r="G265" s="1" t="str">
        <f>"Week_"&amp;F265</f>
        <v>Week_38</v>
      </c>
    </row>
    <row r="266" spans="8:8" ht="15.1">
      <c r="A266" s="3">
        <v>44116.0</v>
      </c>
      <c r="B266" s="2">
        <v>381275.0</v>
      </c>
      <c r="C266" s="2">
        <v>5577.0</v>
      </c>
      <c r="D266" s="2">
        <f>_xlfn.IFERROR(B266-B265,0)</f>
        <v>1537.0</v>
      </c>
      <c r="E266" s="2">
        <f>_xlfn.IFERROR(C266-C265,0)</f>
        <v>22.0</v>
      </c>
      <c r="F266" s="1">
        <f>INT((A266-DATE(2020,1,22))/7)+1</f>
        <v>38.0</v>
      </c>
      <c r="G266" s="1" t="str">
        <f>"Week_"&amp;F266</f>
        <v>Week_38</v>
      </c>
    </row>
    <row r="267" spans="8:8" ht="15.1">
      <c r="A267" s="3">
        <v>44117.0</v>
      </c>
      <c r="B267" s="2">
        <v>382959.0</v>
      </c>
      <c r="C267" s="2">
        <v>5593.0</v>
      </c>
      <c r="D267" s="2">
        <f>_xlfn.IFERROR(B267-B266,0)</f>
        <v>1684.0</v>
      </c>
      <c r="E267" s="2">
        <f>_xlfn.IFERROR(C267-C266,0)</f>
        <v>16.0</v>
      </c>
      <c r="F267" s="1">
        <f>INT((A267-DATE(2020,1,22))/7)+1</f>
        <v>38.0</v>
      </c>
      <c r="G267" s="1" t="str">
        <f>"Week_"&amp;F267</f>
        <v>Week_38</v>
      </c>
    </row>
    <row r="268" spans="8:8" ht="15.1">
      <c r="A268" s="3">
        <v>44118.0</v>
      </c>
      <c r="B268" s="2">
        <v>384559.0</v>
      </c>
      <c r="C268" s="2">
        <v>5608.0</v>
      </c>
      <c r="D268" s="2">
        <f>_xlfn.IFERROR(B268-B267,0)</f>
        <v>1600.0</v>
      </c>
      <c r="E268" s="2">
        <f>_xlfn.IFERROR(C268-C267,0)</f>
        <v>15.0</v>
      </c>
      <c r="F268" s="1">
        <f>INT((A268-DATE(2020,1,22))/7)+1</f>
        <v>39.0</v>
      </c>
      <c r="G268" s="1" t="str">
        <f>"Week_"&amp;F268</f>
        <v>Week_39</v>
      </c>
    </row>
    <row r="269" spans="8:8" ht="15.1">
      <c r="A269" s="3">
        <v>44119.0</v>
      </c>
      <c r="B269" s="2">
        <v>386086.0</v>
      </c>
      <c r="C269" s="2">
        <v>5623.0</v>
      </c>
      <c r="D269" s="2">
        <f>_xlfn.IFERROR(B269-B268,0)</f>
        <v>1527.0</v>
      </c>
      <c r="E269" s="2">
        <f>_xlfn.IFERROR(C269-C268,0)</f>
        <v>15.0</v>
      </c>
      <c r="F269" s="1">
        <f>INT((A269-DATE(2020,1,22))/7)+1</f>
        <v>39.0</v>
      </c>
      <c r="G269" s="1" t="str">
        <f>"Week_"&amp;F269</f>
        <v>Week_39</v>
      </c>
    </row>
    <row r="270" spans="8:8" ht="15.1">
      <c r="A270" s="3">
        <v>44120.0</v>
      </c>
      <c r="B270" s="2">
        <v>387295.0</v>
      </c>
      <c r="C270" s="2">
        <v>5646.0</v>
      </c>
      <c r="D270" s="2">
        <f>_xlfn.IFERROR(B270-B269,0)</f>
        <v>1209.0</v>
      </c>
      <c r="E270" s="2">
        <f>_xlfn.IFERROR(C270-C269,0)</f>
        <v>23.0</v>
      </c>
      <c r="F270" s="1">
        <f>INT((A270-DATE(2020,1,22))/7)+1</f>
        <v>39.0</v>
      </c>
      <c r="G270" s="1" t="str">
        <f>"Week_"&amp;F270</f>
        <v>Week_39</v>
      </c>
    </row>
    <row r="271" spans="8:8" ht="15.1">
      <c r="A271" s="3">
        <v>44121.0</v>
      </c>
      <c r="B271" s="2">
        <v>388569.0</v>
      </c>
      <c r="C271" s="2">
        <v>5660.0</v>
      </c>
      <c r="D271" s="2">
        <f>_xlfn.IFERROR(B271-B270,0)</f>
        <v>1274.0</v>
      </c>
      <c r="E271" s="2">
        <f>_xlfn.IFERROR(C271-C270,0)</f>
        <v>14.0</v>
      </c>
      <c r="F271" s="1">
        <f>INT((A271-DATE(2020,1,22))/7)+1</f>
        <v>39.0</v>
      </c>
      <c r="G271" s="1" t="str">
        <f>"Week_"&amp;F271</f>
        <v>Week_39</v>
      </c>
    </row>
    <row r="272" spans="8:8" ht="15.1">
      <c r="A272" s="3">
        <v>44122.0</v>
      </c>
      <c r="B272" s="2">
        <v>390206.0</v>
      </c>
      <c r="C272" s="2">
        <v>5681.0</v>
      </c>
      <c r="D272" s="2">
        <f>_xlfn.IFERROR(B272-B271,0)</f>
        <v>1637.0</v>
      </c>
      <c r="E272" s="2">
        <f>_xlfn.IFERROR(C272-C271,0)</f>
        <v>21.0</v>
      </c>
      <c r="F272" s="1">
        <f>INT((A272-DATE(2020,1,22))/7)+1</f>
        <v>39.0</v>
      </c>
      <c r="G272" s="1" t="str">
        <f>"Week_"&amp;F272</f>
        <v>Week_39</v>
      </c>
    </row>
    <row r="273" spans="8:8" ht="15.1">
      <c r="A273" s="3">
        <v>44123.0</v>
      </c>
      <c r="B273" s="2">
        <v>391586.0</v>
      </c>
      <c r="C273" s="2">
        <v>5699.0</v>
      </c>
      <c r="D273" s="2">
        <f>_xlfn.IFERROR(B273-B272,0)</f>
        <v>1380.0</v>
      </c>
      <c r="E273" s="2">
        <f>_xlfn.IFERROR(C273-C272,0)</f>
        <v>18.0</v>
      </c>
      <c r="F273" s="1">
        <f>INT((A273-DATE(2020,1,22))/7)+1</f>
        <v>39.0</v>
      </c>
      <c r="G273" s="1" t="str">
        <f>"Week_"&amp;F273</f>
        <v>Week_39</v>
      </c>
    </row>
    <row r="274" spans="8:8" ht="15.1">
      <c r="A274" s="3">
        <v>44124.0</v>
      </c>
      <c r="B274" s="2">
        <v>393131.0</v>
      </c>
      <c r="C274" s="2">
        <v>5723.0</v>
      </c>
      <c r="D274" s="2">
        <f>_xlfn.IFERROR(B274-B273,0)</f>
        <v>1545.0</v>
      </c>
      <c r="E274" s="2">
        <f>_xlfn.IFERROR(C274-C273,0)</f>
        <v>24.0</v>
      </c>
      <c r="F274" s="1">
        <f>INT((A274-DATE(2020,1,22))/7)+1</f>
        <v>39.0</v>
      </c>
      <c r="G274" s="1" t="str">
        <f>"Week_"&amp;F274</f>
        <v>Week_39</v>
      </c>
    </row>
    <row r="275" spans="8:8" ht="15.1">
      <c r="A275" s="3">
        <v>44125.0</v>
      </c>
      <c r="B275" s="2">
        <v>394827.0</v>
      </c>
      <c r="C275" s="2">
        <v>5747.0</v>
      </c>
      <c r="D275" s="2">
        <f>_xlfn.IFERROR(B275-B274,0)</f>
        <v>1696.0</v>
      </c>
      <c r="E275" s="2">
        <f>_xlfn.IFERROR(C275-C274,0)</f>
        <v>24.0</v>
      </c>
      <c r="F275" s="1">
        <f>INT((A275-DATE(2020,1,22))/7)+1</f>
        <v>40.0</v>
      </c>
      <c r="G275" s="1" t="str">
        <f>"Week_"&amp;F275</f>
        <v>Week_40</v>
      </c>
    </row>
    <row r="276" spans="8:8" ht="15.1">
      <c r="A276" s="3">
        <v>44126.0</v>
      </c>
      <c r="B276" s="2">
        <v>396413.0</v>
      </c>
      <c r="C276" s="2">
        <v>5761.0</v>
      </c>
      <c r="D276" s="2">
        <f>_xlfn.IFERROR(B276-B275,0)</f>
        <v>1586.0</v>
      </c>
      <c r="E276" s="2">
        <f>_xlfn.IFERROR(C276-C275,0)</f>
        <v>14.0</v>
      </c>
      <c r="F276" s="1">
        <f>INT((A276-DATE(2020,1,22))/7)+1</f>
        <v>40.0</v>
      </c>
      <c r="G276" s="1" t="str">
        <f>"Week_"&amp;F276</f>
        <v>Week_40</v>
      </c>
    </row>
    <row r="277" spans="8:8" ht="15.1">
      <c r="A277" s="3">
        <v>44127.0</v>
      </c>
      <c r="B277" s="2">
        <v>397507.0</v>
      </c>
      <c r="C277" s="2">
        <v>5780.0</v>
      </c>
      <c r="D277" s="2">
        <f>_xlfn.IFERROR(B277-B276,0)</f>
        <v>1094.0</v>
      </c>
      <c r="E277" s="2">
        <f>_xlfn.IFERROR(C277-C276,0)</f>
        <v>19.0</v>
      </c>
      <c r="F277" s="1">
        <f>INT((A277-DATE(2020,1,22))/7)+1</f>
        <v>40.0</v>
      </c>
      <c r="G277" s="1" t="str">
        <f>"Week_"&amp;F277</f>
        <v>Week_40</v>
      </c>
    </row>
    <row r="278" spans="8:8" ht="15.1">
      <c r="A278" s="3">
        <v>44128.0</v>
      </c>
      <c r="B278" s="2">
        <v>398815.0</v>
      </c>
      <c r="C278" s="2">
        <v>5803.0</v>
      </c>
      <c r="D278" s="2">
        <f>_xlfn.IFERROR(B278-B277,0)</f>
        <v>1308.0</v>
      </c>
      <c r="E278" s="2">
        <f>_xlfn.IFERROR(C278-C277,0)</f>
        <v>23.0</v>
      </c>
      <c r="F278" s="1">
        <f>INT((A278-DATE(2020,1,22))/7)+1</f>
        <v>40.0</v>
      </c>
      <c r="G278" s="1" t="str">
        <f>"Week_"&amp;F278</f>
        <v>Week_40</v>
      </c>
    </row>
    <row r="279" spans="8:8" ht="15.1">
      <c r="A279" s="3">
        <v>44129.0</v>
      </c>
      <c r="B279" s="2">
        <v>400251.0</v>
      </c>
      <c r="C279" s="2">
        <v>5818.0</v>
      </c>
      <c r="D279" s="2">
        <f>_xlfn.IFERROR(B279-B278,0)</f>
        <v>1436.0</v>
      </c>
      <c r="E279" s="2">
        <f>_xlfn.IFERROR(C279-C278,0)</f>
        <v>15.0</v>
      </c>
      <c r="F279" s="1">
        <f>INT((A279-DATE(2020,1,22))/7)+1</f>
        <v>40.0</v>
      </c>
      <c r="G279" s="1" t="str">
        <f>"Week_"&amp;F279</f>
        <v>Week_40</v>
      </c>
    </row>
    <row r="280" spans="8:8" ht="15.1">
      <c r="A280" s="3">
        <v>44130.0</v>
      </c>
      <c r="B280" s="2">
        <v>401586.0</v>
      </c>
      <c r="C280" s="2">
        <v>5838.0</v>
      </c>
      <c r="D280" s="2">
        <f>_xlfn.IFERROR(B280-B279,0)</f>
        <v>1335.0</v>
      </c>
      <c r="E280" s="2">
        <f>_xlfn.IFERROR(C280-C279,0)</f>
        <v>20.0</v>
      </c>
      <c r="F280" s="1">
        <f>INT((A280-DATE(2020,1,22))/7)+1</f>
        <v>40.0</v>
      </c>
      <c r="G280" s="1" t="str">
        <f>"Week_"&amp;F280</f>
        <v>Week_40</v>
      </c>
    </row>
    <row r="281" spans="8:8" ht="15.1">
      <c r="A281" s="3">
        <v>44131.0</v>
      </c>
      <c r="B281" s="2">
        <v>403079.0</v>
      </c>
      <c r="C281" s="2">
        <v>5861.0</v>
      </c>
      <c r="D281" s="2">
        <f>_xlfn.IFERROR(B281-B280,0)</f>
        <v>1493.0</v>
      </c>
      <c r="E281" s="2">
        <f>_xlfn.IFERROR(C281-C280,0)</f>
        <v>23.0</v>
      </c>
      <c r="F281" s="1">
        <f>INT((A281-DATE(2020,1,22))/7)+1</f>
        <v>40.0</v>
      </c>
      <c r="G281" s="1" t="str">
        <f>"Week_"&amp;F281</f>
        <v>Week_40</v>
      </c>
    </row>
    <row r="282" spans="8:8" ht="15.1">
      <c r="A282" s="3">
        <v>44132.0</v>
      </c>
      <c r="B282" s="2">
        <v>404760.0</v>
      </c>
      <c r="C282" s="2">
        <v>5886.0</v>
      </c>
      <c r="D282" s="2">
        <f>_xlfn.IFERROR(B282-B281,0)</f>
        <v>1681.0</v>
      </c>
      <c r="E282" s="2">
        <f>_xlfn.IFERROR(C282-C281,0)</f>
        <v>25.0</v>
      </c>
      <c r="F282" s="1">
        <f>INT((A282-DATE(2020,1,22))/7)+1</f>
        <v>41.0</v>
      </c>
      <c r="G282" s="1" t="str">
        <f>"Week_"&amp;F282</f>
        <v>Week_41</v>
      </c>
    </row>
    <row r="283" spans="8:8" ht="15.1">
      <c r="A283" s="3">
        <v>44133.0</v>
      </c>
      <c r="B283" s="2">
        <v>406364.0</v>
      </c>
      <c r="C283" s="2">
        <v>5905.0</v>
      </c>
      <c r="D283" s="2">
        <f>_xlfn.IFERROR(B283-B282,0)</f>
        <v>1604.0</v>
      </c>
      <c r="E283" s="2">
        <f>_xlfn.IFERROR(C283-C282,0)</f>
        <v>19.0</v>
      </c>
      <c r="F283" s="1">
        <f>INT((A283-DATE(2020,1,22))/7)+1</f>
        <v>41.0</v>
      </c>
      <c r="G283" s="1" t="str">
        <f>"Week_"&amp;F283</f>
        <v>Week_41</v>
      </c>
    </row>
    <row r="284" spans="8:8" ht="15.1">
      <c r="A284" s="3">
        <v>44134.0</v>
      </c>
      <c r="B284" s="2">
        <v>407684.0</v>
      </c>
      <c r="C284" s="2">
        <v>5923.0</v>
      </c>
      <c r="D284" s="2">
        <f>_xlfn.IFERROR(B284-B283,0)</f>
        <v>1320.0</v>
      </c>
      <c r="E284" s="2">
        <f>_xlfn.IFERROR(C284-C283,0)</f>
        <v>18.0</v>
      </c>
      <c r="F284" s="1">
        <f>INT((A284-DATE(2020,1,22))/7)+1</f>
        <v>41.0</v>
      </c>
      <c r="G284" s="1" t="str">
        <f>"Week_"&amp;F284</f>
        <v>Week_41</v>
      </c>
    </row>
    <row r="285" spans="8:8" ht="15.1">
      <c r="A285" s="3">
        <v>44135.0</v>
      </c>
      <c r="B285" s="2">
        <v>409252.0</v>
      </c>
      <c r="C285" s="2">
        <v>5941.0</v>
      </c>
      <c r="D285" s="2">
        <f>_xlfn.IFERROR(B285-B284,0)</f>
        <v>1568.0</v>
      </c>
      <c r="E285" s="2">
        <f>_xlfn.IFERROR(C285-C284,0)</f>
        <v>18.0</v>
      </c>
      <c r="F285" s="1">
        <f>INT((A285-DATE(2020,1,22))/7)+1</f>
        <v>41.0</v>
      </c>
      <c r="G285" s="1" t="str">
        <f>"Week_"&amp;F285</f>
        <v>Week_41</v>
      </c>
    </row>
    <row r="286" spans="8:8" ht="15.1">
      <c r="A286" s="3">
        <v>44136.0</v>
      </c>
      <c r="B286" s="2">
        <v>410988.0</v>
      </c>
      <c r="C286" s="2">
        <v>5966.0</v>
      </c>
      <c r="D286" s="2">
        <f>_xlfn.IFERROR(B286-B285,0)</f>
        <v>1736.0</v>
      </c>
      <c r="E286" s="2">
        <f>_xlfn.IFERROR(C286-C285,0)</f>
        <v>25.0</v>
      </c>
      <c r="F286" s="1">
        <f>INT((A286-DATE(2020,1,22))/7)+1</f>
        <v>41.0</v>
      </c>
      <c r="G286" s="1" t="str">
        <f>"Week_"&amp;F286</f>
        <v>Week_41</v>
      </c>
    </row>
    <row r="287" spans="8:8" ht="15.1">
      <c r="A287" s="3">
        <v>44137.0</v>
      </c>
      <c r="B287" s="2">
        <v>412647.0</v>
      </c>
      <c r="C287" s="2">
        <v>5983.0</v>
      </c>
      <c r="D287" s="2">
        <f>_xlfn.IFERROR(B287-B286,0)</f>
        <v>1659.0</v>
      </c>
      <c r="E287" s="2">
        <f>_xlfn.IFERROR(C287-C286,0)</f>
        <v>17.0</v>
      </c>
      <c r="F287" s="1">
        <f>INT((A287-DATE(2020,1,22))/7)+1</f>
        <v>41.0</v>
      </c>
      <c r="G287" s="1" t="str">
        <f>"Week_"&amp;F287</f>
        <v>Week_41</v>
      </c>
    </row>
    <row r="288" spans="8:8" ht="15.1">
      <c r="A288" s="3">
        <v>44138.0</v>
      </c>
      <c r="B288" s="2">
        <v>414164.0</v>
      </c>
      <c r="C288" s="2">
        <v>6004.0</v>
      </c>
      <c r="D288" s="2">
        <f>_xlfn.IFERROR(B288-B287,0)</f>
        <v>1517.0</v>
      </c>
      <c r="E288" s="2">
        <f>_xlfn.IFERROR(C288-C287,0)</f>
        <v>21.0</v>
      </c>
      <c r="F288" s="1">
        <f>INT((A288-DATE(2020,1,22))/7)+1</f>
        <v>41.0</v>
      </c>
      <c r="G288" s="1" t="str">
        <f>"Week_"&amp;F288</f>
        <v>Week_41</v>
      </c>
    </row>
    <row r="289" spans="8:8" ht="15.1">
      <c r="A289" s="3">
        <v>44139.0</v>
      </c>
      <c r="B289" s="2">
        <v>416006.0</v>
      </c>
      <c r="C289" s="2">
        <v>6021.0</v>
      </c>
      <c r="D289" s="2">
        <f>_xlfn.IFERROR(B289-B288,0)</f>
        <v>1842.0</v>
      </c>
      <c r="E289" s="2">
        <f>_xlfn.IFERROR(C289-C288,0)</f>
        <v>17.0</v>
      </c>
      <c r="F289" s="1">
        <f>INT((A289-DATE(2020,1,22))/7)+1</f>
        <v>42.0</v>
      </c>
      <c r="G289" s="1" t="str">
        <f>"Week_"&amp;F289</f>
        <v>Week_42</v>
      </c>
    </row>
    <row r="290" spans="8:8" ht="15.1">
      <c r="A290" s="3">
        <v>44140.0</v>
      </c>
      <c r="B290" s="2">
        <v>417475.0</v>
      </c>
      <c r="C290" s="2">
        <v>6036.0</v>
      </c>
      <c r="D290" s="2">
        <f>_xlfn.IFERROR(B290-B289,0)</f>
        <v>1469.0</v>
      </c>
      <c r="E290" s="2">
        <f>_xlfn.IFERROR(C290-C289,0)</f>
        <v>15.0</v>
      </c>
      <c r="F290" s="1">
        <f>INT((A290-DATE(2020,1,22))/7)+1</f>
        <v>42.0</v>
      </c>
      <c r="G290" s="1" t="str">
        <f>"Week_"&amp;F290</f>
        <v>Week_42</v>
      </c>
    </row>
    <row r="291" spans="8:8" ht="15.1">
      <c r="A291" s="3">
        <v>44141.0</v>
      </c>
      <c r="B291" s="2">
        <v>418764.0</v>
      </c>
      <c r="C291" s="2">
        <v>6049.0</v>
      </c>
      <c r="D291" s="2">
        <f>_xlfn.IFERROR(B291-B290,0)</f>
        <v>1289.0</v>
      </c>
      <c r="E291" s="2">
        <f>_xlfn.IFERROR(C291-C290,0)</f>
        <v>13.0</v>
      </c>
      <c r="F291" s="1">
        <f>INT((A291-DATE(2020,1,22))/7)+1</f>
        <v>42.0</v>
      </c>
      <c r="G291" s="1" t="str">
        <f>"Week_"&amp;F291</f>
        <v>Week_42</v>
      </c>
    </row>
    <row r="292" spans="8:8" ht="15.1">
      <c r="A292" s="3">
        <v>44142.0</v>
      </c>
      <c r="B292" s="2">
        <v>420238.0</v>
      </c>
      <c r="C292" s="2">
        <v>6067.0</v>
      </c>
      <c r="D292" s="2">
        <f>_xlfn.IFERROR(B292-B291,0)</f>
        <v>1474.0</v>
      </c>
      <c r="E292" s="2">
        <f>_xlfn.IFERROR(C292-C291,0)</f>
        <v>18.0</v>
      </c>
      <c r="F292" s="1">
        <f>INT((A292-DATE(2020,1,22))/7)+1</f>
        <v>42.0</v>
      </c>
      <c r="G292" s="1" t="str">
        <f>"Week_"&amp;F292</f>
        <v>Week_42</v>
      </c>
    </row>
    <row r="293" spans="8:8" ht="15.1">
      <c r="A293" s="3">
        <v>44143.0</v>
      </c>
      <c r="B293" s="2">
        <v>421921.0</v>
      </c>
      <c r="C293" s="2">
        <v>6092.0</v>
      </c>
      <c r="D293" s="2">
        <f>_xlfn.IFERROR(B293-B292,0)</f>
        <v>1683.0</v>
      </c>
      <c r="E293" s="2">
        <f>_xlfn.IFERROR(C293-C292,0)</f>
        <v>25.0</v>
      </c>
      <c r="F293" s="1">
        <f>INT((A293-DATE(2020,1,22))/7)+1</f>
        <v>42.0</v>
      </c>
      <c r="G293" s="1" t="str">
        <f>"Week_"&amp;F293</f>
        <v>Week_42</v>
      </c>
    </row>
    <row r="294" spans="8:8" ht="15.1">
      <c r="A294" s="3">
        <v>44144.0</v>
      </c>
      <c r="B294" s="2">
        <v>423620.0</v>
      </c>
      <c r="C294" s="2">
        <v>6108.0</v>
      </c>
      <c r="D294" s="2">
        <f>_xlfn.IFERROR(B294-B293,0)</f>
        <v>1699.0</v>
      </c>
      <c r="E294" s="2">
        <f>_xlfn.IFERROR(C294-C293,0)</f>
        <v>16.0</v>
      </c>
      <c r="F294" s="1">
        <f>INT((A294-DATE(2020,1,22))/7)+1</f>
        <v>42.0</v>
      </c>
      <c r="G294" s="1" t="str">
        <f>"Week_"&amp;F294</f>
        <v>Week_42</v>
      </c>
    </row>
    <row r="295" spans="8:8" ht="15.1">
      <c r="A295" s="3">
        <v>44145.0</v>
      </c>
      <c r="B295" s="2">
        <v>425353.0</v>
      </c>
      <c r="C295" s="2">
        <v>6127.0</v>
      </c>
      <c r="D295" s="2">
        <f>_xlfn.IFERROR(B295-B294,0)</f>
        <v>1733.0</v>
      </c>
      <c r="E295" s="2">
        <f>_xlfn.IFERROR(C295-C294,0)</f>
        <v>19.0</v>
      </c>
      <c r="F295" s="1">
        <f>INT((A295-DATE(2020,1,22))/7)+1</f>
        <v>42.0</v>
      </c>
      <c r="G295" s="1" t="str">
        <f>"Week_"&amp;F295</f>
        <v>Week_42</v>
      </c>
    </row>
    <row r="296" spans="8:8" ht="15.1">
      <c r="A296" s="3">
        <v>44146.0</v>
      </c>
      <c r="B296" s="2">
        <v>427198.0</v>
      </c>
      <c r="C296" s="2">
        <v>6140.0</v>
      </c>
      <c r="D296" s="2">
        <f>_xlfn.IFERROR(B296-B295,0)</f>
        <v>1845.0</v>
      </c>
      <c r="E296" s="2">
        <f>_xlfn.IFERROR(C296-C295,0)</f>
        <v>13.0</v>
      </c>
      <c r="F296" s="1">
        <f>INT((A296-DATE(2020,1,22))/7)+1</f>
        <v>43.0</v>
      </c>
      <c r="G296" s="1" t="str">
        <f>"Week_"&amp;F296</f>
        <v>Week_43</v>
      </c>
    </row>
    <row r="297" spans="8:8" ht="15.1">
      <c r="A297" s="3">
        <v>44147.0</v>
      </c>
      <c r="B297" s="2">
        <v>428965.0</v>
      </c>
      <c r="C297" s="2">
        <v>6159.0</v>
      </c>
      <c r="D297" s="2">
        <f>_xlfn.IFERROR(B297-B296,0)</f>
        <v>1767.0</v>
      </c>
      <c r="E297" s="2">
        <f>_xlfn.IFERROR(C297-C296,0)</f>
        <v>19.0</v>
      </c>
      <c r="F297" s="1">
        <f>INT((A297-DATE(2020,1,22))/7)+1</f>
        <v>43.0</v>
      </c>
      <c r="G297" s="1" t="str">
        <f>"Week_"&amp;F297</f>
        <v>Week_43</v>
      </c>
    </row>
    <row r="298" spans="8:8" ht="15.1">
      <c r="A298" s="3">
        <v>44148.0</v>
      </c>
      <c r="B298" s="2">
        <v>430496.0</v>
      </c>
      <c r="C298" s="2">
        <v>6173.0</v>
      </c>
      <c r="D298" s="2">
        <f>_xlfn.IFERROR(B298-B297,0)</f>
        <v>1531.0</v>
      </c>
      <c r="E298" s="2">
        <f>_xlfn.IFERROR(C298-C297,0)</f>
        <v>14.0</v>
      </c>
      <c r="F298" s="1">
        <f>INT((A298-DATE(2020,1,22))/7)+1</f>
        <v>43.0</v>
      </c>
      <c r="G298" s="1" t="str">
        <f>"Week_"&amp;F298</f>
        <v>Week_43</v>
      </c>
    </row>
    <row r="299" spans="8:8" ht="15.1">
      <c r="A299" s="3">
        <v>44149.0</v>
      </c>
      <c r="B299" s="2">
        <v>432333.0</v>
      </c>
      <c r="C299" s="2">
        <v>6194.0</v>
      </c>
      <c r="D299" s="2">
        <f>_xlfn.IFERROR(B299-B298,0)</f>
        <v>1837.0</v>
      </c>
      <c r="E299" s="2">
        <f>_xlfn.IFERROR(C299-C298,0)</f>
        <v>21.0</v>
      </c>
      <c r="F299" s="1">
        <f>INT((A299-DATE(2020,1,22))/7)+1</f>
        <v>43.0</v>
      </c>
      <c r="G299" s="1" t="str">
        <f>"Week_"&amp;F299</f>
        <v>Week_43</v>
      </c>
    </row>
    <row r="300" spans="8:8" ht="15.1">
      <c r="A300" s="3">
        <v>44150.0</v>
      </c>
      <c r="B300" s="2">
        <v>434472.0</v>
      </c>
      <c r="C300" s="2">
        <v>6215.0</v>
      </c>
      <c r="D300" s="2">
        <f>_xlfn.IFERROR(B300-B299,0)</f>
        <v>2139.0</v>
      </c>
      <c r="E300" s="2">
        <f>_xlfn.IFERROR(C300-C299,0)</f>
        <v>21.0</v>
      </c>
      <c r="F300" s="1">
        <f>INT((A300-DATE(2020,1,22))/7)+1</f>
        <v>43.0</v>
      </c>
      <c r="G300" s="1" t="str">
        <f>"Week_"&amp;F300</f>
        <v>Week_43</v>
      </c>
    </row>
    <row r="301" spans="8:8" ht="15.1">
      <c r="A301" s="3">
        <v>44151.0</v>
      </c>
      <c r="B301" s="2">
        <v>436684.0</v>
      </c>
      <c r="C301" s="2">
        <v>6254.0</v>
      </c>
      <c r="D301" s="2">
        <f>_xlfn.IFERROR(B301-B300,0)</f>
        <v>2212.0</v>
      </c>
      <c r="E301" s="2">
        <f>_xlfn.IFERROR(C301-C300,0)</f>
        <v>39.0</v>
      </c>
      <c r="F301" s="1">
        <f>INT((A301-DATE(2020,1,22))/7)+1</f>
        <v>43.0</v>
      </c>
      <c r="G301" s="1" t="str">
        <f>"Week_"&amp;F301</f>
        <v>Week_43</v>
      </c>
    </row>
    <row r="302" spans="8:8" ht="15.1">
      <c r="A302" s="3">
        <v>44152.0</v>
      </c>
      <c r="B302" s="2">
        <v>438795.0</v>
      </c>
      <c r="C302" s="2">
        <v>6275.0</v>
      </c>
      <c r="D302" s="2">
        <f>_xlfn.IFERROR(B302-B301,0)</f>
        <v>2111.0</v>
      </c>
      <c r="E302" s="2">
        <f>_xlfn.IFERROR(C302-C301,0)</f>
        <v>21.0</v>
      </c>
      <c r="F302" s="1">
        <f>INT((A302-DATE(2020,1,22))/7)+1</f>
        <v>43.0</v>
      </c>
      <c r="G302" s="1" t="str">
        <f>"Week_"&amp;F302</f>
        <v>Week_43</v>
      </c>
    </row>
    <row r="303" spans="8:8" ht="15.1">
      <c r="A303" s="3">
        <v>44153.0</v>
      </c>
      <c r="B303" s="2">
        <v>441159.0</v>
      </c>
      <c r="C303" s="2">
        <v>6305.0</v>
      </c>
      <c r="D303" s="2">
        <f>_xlfn.IFERROR(B303-B302,0)</f>
        <v>2364.0</v>
      </c>
      <c r="E303" s="2">
        <f>_xlfn.IFERROR(C303-C302,0)</f>
        <v>30.0</v>
      </c>
      <c r="F303" s="1">
        <f>INT((A303-DATE(2020,1,22))/7)+1</f>
        <v>44.0</v>
      </c>
      <c r="G303" s="1" t="str">
        <f>"Week_"&amp;F303</f>
        <v>Week_44</v>
      </c>
    </row>
    <row r="304" spans="8:8" ht="15.1">
      <c r="A304" s="3">
        <v>44154.0</v>
      </c>
      <c r="B304" s="2">
        <v>443434.0</v>
      </c>
      <c r="C304" s="2">
        <v>6322.0</v>
      </c>
      <c r="D304" s="2">
        <f>_xlfn.IFERROR(B304-B303,0)</f>
        <v>2275.0</v>
      </c>
      <c r="E304" s="2">
        <f>_xlfn.IFERROR(C304-C303,0)</f>
        <v>17.0</v>
      </c>
      <c r="F304" s="1">
        <f>INT((A304-DATE(2020,1,22))/7)+1</f>
        <v>44.0</v>
      </c>
      <c r="G304" s="1" t="str">
        <f>"Week_"&amp;F304</f>
        <v>Week_44</v>
      </c>
    </row>
    <row r="305" spans="8:8" ht="15.1">
      <c r="A305" s="3">
        <v>44155.0</v>
      </c>
      <c r="B305" s="2">
        <v>445281.0</v>
      </c>
      <c r="C305" s="2">
        <v>6350.0</v>
      </c>
      <c r="D305" s="2">
        <f>_xlfn.IFERROR(B305-B304,0)</f>
        <v>1847.0</v>
      </c>
      <c r="E305" s="2">
        <f>_xlfn.IFERROR(C305-C304,0)</f>
        <v>28.0</v>
      </c>
      <c r="F305" s="1">
        <f>INT((A305-DATE(2020,1,22))/7)+1</f>
        <v>44.0</v>
      </c>
      <c r="G305" s="1" t="str">
        <f>"Week_"&amp;F305</f>
        <v>Week_44</v>
      </c>
    </row>
    <row r="306" spans="8:8" ht="15.1">
      <c r="A306" s="3">
        <v>44156.0</v>
      </c>
      <c r="B306" s="2">
        <v>447341.0</v>
      </c>
      <c r="C306" s="2">
        <v>6388.0</v>
      </c>
      <c r="D306" s="2">
        <f>_xlfn.IFERROR(B306-B305,0)</f>
        <v>2060.0</v>
      </c>
      <c r="E306" s="2">
        <f>_xlfn.IFERROR(C306-C305,0)</f>
        <v>38.0</v>
      </c>
      <c r="F306" s="1">
        <f>INT((A306-DATE(2020,1,22))/7)+1</f>
        <v>44.0</v>
      </c>
      <c r="G306" s="1" t="str">
        <f>"Week_"&amp;F306</f>
        <v>Week_44</v>
      </c>
    </row>
    <row r="307" spans="8:8" ht="15.1">
      <c r="A307" s="3">
        <v>44157.0</v>
      </c>
      <c r="B307" s="2">
        <v>449760.0</v>
      </c>
      <c r="C307" s="2">
        <v>6416.0</v>
      </c>
      <c r="D307" s="2">
        <f>_xlfn.IFERROR(B307-B306,0)</f>
        <v>2419.0</v>
      </c>
      <c r="E307" s="2">
        <f>_xlfn.IFERROR(C307-C306,0)</f>
        <v>28.0</v>
      </c>
      <c r="F307" s="1">
        <f>INT((A307-DATE(2020,1,22))/7)+1</f>
        <v>44.0</v>
      </c>
      <c r="G307" s="1" t="str">
        <f>"Week_"&amp;F307</f>
        <v>Week_44</v>
      </c>
    </row>
    <row r="308" spans="8:8" ht="15.1">
      <c r="A308" s="3">
        <v>44158.0</v>
      </c>
      <c r="B308" s="2">
        <v>451990.0</v>
      </c>
      <c r="C308" s="2">
        <v>6448.0</v>
      </c>
      <c r="D308" s="2">
        <f>_xlfn.IFERROR(B308-B307,0)</f>
        <v>2230.0</v>
      </c>
      <c r="E308" s="2">
        <f>_xlfn.IFERROR(C308-C307,0)</f>
        <v>32.0</v>
      </c>
      <c r="F308" s="1">
        <f>INT((A308-DATE(2020,1,22))/7)+1</f>
        <v>44.0</v>
      </c>
      <c r="G308" s="1" t="str">
        <f>"Week_"&amp;F308</f>
        <v>Week_44</v>
      </c>
    </row>
    <row r="309" spans="8:8" ht="15.1">
      <c r="A309" s="3">
        <v>44159.0</v>
      </c>
      <c r="B309" s="2">
        <v>454146.0</v>
      </c>
      <c r="C309" s="2">
        <v>6487.0</v>
      </c>
      <c r="D309" s="2">
        <f>_xlfn.IFERROR(B309-B308,0)</f>
        <v>2156.0</v>
      </c>
      <c r="E309" s="2">
        <f>_xlfn.IFERROR(C309-C308,0)</f>
        <v>39.0</v>
      </c>
      <c r="F309" s="1">
        <f>INT((A309-DATE(2020,1,22))/7)+1</f>
        <v>44.0</v>
      </c>
      <c r="G309" s="1" t="str">
        <f>"Week_"&amp;F309</f>
        <v>Week_44</v>
      </c>
    </row>
    <row r="310" spans="8:8" ht="15.1">
      <c r="A310" s="3">
        <v>44160.0</v>
      </c>
      <c r="B310" s="2">
        <v>456438.0</v>
      </c>
      <c r="C310" s="2">
        <v>6524.0</v>
      </c>
      <c r="D310" s="2">
        <f>_xlfn.IFERROR(B310-B309,0)</f>
        <v>2292.0</v>
      </c>
      <c r="E310" s="2">
        <f>_xlfn.IFERROR(C310-C309,0)</f>
        <v>37.0</v>
      </c>
      <c r="F310" s="1">
        <f>INT((A310-DATE(2020,1,22))/7)+1</f>
        <v>45.0</v>
      </c>
      <c r="G310" s="1" t="str">
        <f>"Week_"&amp;F310</f>
        <v>Week_45</v>
      </c>
    </row>
    <row r="311" spans="8:8" ht="15.1">
      <c r="A311" s="3">
        <v>44161.0</v>
      </c>
      <c r="B311" s="2">
        <v>458711.0</v>
      </c>
      <c r="C311" s="2">
        <v>6544.0</v>
      </c>
      <c r="D311" s="2">
        <f>_xlfn.IFERROR(B311-B310,0)</f>
        <v>2273.0</v>
      </c>
      <c r="E311" s="2">
        <f>_xlfn.IFERROR(C311-C310,0)</f>
        <v>20.0</v>
      </c>
      <c r="F311" s="1">
        <f>INT((A311-DATE(2020,1,22))/7)+1</f>
        <v>45.0</v>
      </c>
      <c r="G311" s="1" t="str">
        <f>"Week_"&amp;F311</f>
        <v>Week_45</v>
      </c>
    </row>
    <row r="312" spans="8:8" ht="15.1">
      <c r="A312" s="3">
        <v>44162.0</v>
      </c>
      <c r="B312" s="2">
        <v>460619.0</v>
      </c>
      <c r="C312" s="2">
        <v>6580.0</v>
      </c>
      <c r="D312" s="2">
        <f>_xlfn.IFERROR(B312-B311,0)</f>
        <v>1908.0</v>
      </c>
      <c r="E312" s="2">
        <f>_xlfn.IFERROR(C312-C311,0)</f>
        <v>36.0</v>
      </c>
      <c r="F312" s="1">
        <f>INT((A312-DATE(2020,1,22))/7)+1</f>
        <v>45.0</v>
      </c>
      <c r="G312" s="1" t="str">
        <f>"Week_"&amp;F312</f>
        <v>Week_45</v>
      </c>
    </row>
    <row r="313" spans="8:8" ht="15.1">
      <c r="A313" s="3">
        <v>44163.0</v>
      </c>
      <c r="B313" s="2">
        <v>462407.0</v>
      </c>
      <c r="C313" s="2">
        <v>6609.0</v>
      </c>
      <c r="D313" s="2">
        <f>_xlfn.IFERROR(B313-B312,0)</f>
        <v>1788.0</v>
      </c>
      <c r="E313" s="2">
        <f>_xlfn.IFERROR(C313-C312,0)</f>
        <v>29.0</v>
      </c>
      <c r="F313" s="1">
        <f>INT((A313-DATE(2020,1,22))/7)+1</f>
        <v>45.0</v>
      </c>
      <c r="G313" s="1" t="str">
        <f>"Week_"&amp;F313</f>
        <v>Week_45</v>
      </c>
    </row>
    <row r="314" spans="8:8" ht="15.1">
      <c r="A314" s="3">
        <v>44164.0</v>
      </c>
      <c r="B314" s="2">
        <v>464932.0</v>
      </c>
      <c r="C314" s="2">
        <v>6644.0</v>
      </c>
      <c r="D314" s="2">
        <f>_xlfn.IFERROR(B314-B313,0)</f>
        <v>2525.0</v>
      </c>
      <c r="E314" s="2">
        <f>_xlfn.IFERROR(C314-C313,0)</f>
        <v>35.0</v>
      </c>
      <c r="F314" s="1">
        <f>INT((A314-DATE(2020,1,22))/7)+1</f>
        <v>45.0</v>
      </c>
      <c r="G314" s="1" t="str">
        <f>"Week_"&amp;F314</f>
        <v>Week_45</v>
      </c>
    </row>
    <row r="315" spans="8:8" ht="15.1">
      <c r="A315" s="3">
        <v>44165.0</v>
      </c>
      <c r="B315" s="2">
        <v>467225.0</v>
      </c>
      <c r="C315" s="2">
        <v>6675.0</v>
      </c>
      <c r="D315" s="2">
        <f>_xlfn.IFERROR(B315-B314,0)</f>
        <v>2293.0</v>
      </c>
      <c r="E315" s="2">
        <f>_xlfn.IFERROR(C315-C314,0)</f>
        <v>31.0</v>
      </c>
      <c r="F315" s="1">
        <f>INT((A315-DATE(2020,1,22))/7)+1</f>
        <v>45.0</v>
      </c>
      <c r="G315" s="1" t="str">
        <f>"Week_"&amp;F315</f>
        <v>Week_45</v>
      </c>
    </row>
    <row r="316" spans="8:8" ht="15.1">
      <c r="A316" s="3">
        <v>44166.0</v>
      </c>
      <c r="B316" s="2">
        <v>469423.0</v>
      </c>
      <c r="C316" s="2">
        <v>6713.0</v>
      </c>
      <c r="D316" s="2">
        <f>_xlfn.IFERROR(B316-B315,0)</f>
        <v>2198.0</v>
      </c>
      <c r="E316" s="2">
        <f>_xlfn.IFERROR(C316-C315,0)</f>
        <v>38.0</v>
      </c>
      <c r="F316" s="1">
        <f>INT((A316-DATE(2020,1,22))/7)+1</f>
        <v>45.0</v>
      </c>
      <c r="G316" s="1" t="str">
        <f>"Week_"&amp;F316</f>
        <v>Week_45</v>
      </c>
    </row>
    <row r="317" spans="8:8" ht="15.1">
      <c r="A317" s="3">
        <v>44167.0</v>
      </c>
      <c r="B317" s="2">
        <v>471739.0</v>
      </c>
      <c r="C317" s="2">
        <v>6748.0</v>
      </c>
      <c r="D317" s="2">
        <f>_xlfn.IFERROR(B317-B316,0)</f>
        <v>2316.0</v>
      </c>
      <c r="E317" s="2">
        <f>_xlfn.IFERROR(C317-C316,0)</f>
        <v>35.0</v>
      </c>
      <c r="F317" s="1">
        <f>INT((A317-DATE(2020,1,22))/7)+1</f>
        <v>46.0</v>
      </c>
      <c r="G317" s="1" t="str">
        <f>"Week_"&amp;F317</f>
        <v>Week_46</v>
      </c>
    </row>
    <row r="318" spans="8:8" ht="15.1">
      <c r="A318" s="3">
        <v>44168.0</v>
      </c>
      <c r="B318" s="2">
        <v>473991.0</v>
      </c>
      <c r="C318" s="2">
        <v>6772.0</v>
      </c>
      <c r="D318" s="2">
        <f>_xlfn.IFERROR(B318-B317,0)</f>
        <v>2252.0</v>
      </c>
      <c r="E318" s="2">
        <f>_xlfn.IFERROR(C318-C317,0)</f>
        <v>24.0</v>
      </c>
      <c r="F318" s="1">
        <f>INT((A318-DATE(2020,1,22))/7)+1</f>
        <v>46.0</v>
      </c>
      <c r="G318" s="1" t="str">
        <f>"Week_"&amp;F318</f>
        <v>Week_46</v>
      </c>
    </row>
    <row r="319" spans="8:8" ht="15.1">
      <c r="A319" s="3">
        <v>44169.0</v>
      </c>
      <c r="B319" s="2">
        <v>475789.0</v>
      </c>
      <c r="C319" s="2">
        <v>6807.0</v>
      </c>
      <c r="D319" s="2">
        <f>_xlfn.IFERROR(B319-B318,0)</f>
        <v>1798.0</v>
      </c>
      <c r="E319" s="2">
        <f>_xlfn.IFERROR(C319-C318,0)</f>
        <v>35.0</v>
      </c>
      <c r="F319" s="1">
        <f>INT((A319-DATE(2020,1,22))/7)+1</f>
        <v>46.0</v>
      </c>
      <c r="G319" s="1" t="str">
        <f>"Week_"&amp;F319</f>
        <v>Week_46</v>
      </c>
    </row>
    <row r="320" spans="8:8" ht="15.1">
      <c r="A320" s="3">
        <v>44170.0</v>
      </c>
      <c r="B320" s="2">
        <v>477545.0</v>
      </c>
      <c r="C320" s="2">
        <v>6838.0</v>
      </c>
      <c r="D320" s="2">
        <f>_xlfn.IFERROR(B320-B319,0)</f>
        <v>1756.0</v>
      </c>
      <c r="E320" s="2">
        <f>_xlfn.IFERROR(C320-C319,0)</f>
        <v>31.0</v>
      </c>
      <c r="F320" s="1">
        <f>INT((A320-DATE(2020,1,22))/7)+1</f>
        <v>46.0</v>
      </c>
      <c r="G320" s="1" t="str">
        <f>"Week_"&amp;F320</f>
        <v>Week_46</v>
      </c>
    </row>
    <row r="321" spans="8:8" ht="15.1">
      <c r="A321" s="3">
        <v>44171.0</v>
      </c>
      <c r="B321" s="2">
        <v>479743.0</v>
      </c>
      <c r="C321" s="2">
        <v>6874.0</v>
      </c>
      <c r="D321" s="2">
        <f>_xlfn.IFERROR(B321-B320,0)</f>
        <v>2198.0</v>
      </c>
      <c r="E321" s="2">
        <f>_xlfn.IFERROR(C321-C320,0)</f>
        <v>36.0</v>
      </c>
      <c r="F321" s="1">
        <f>INT((A321-DATE(2020,1,22))/7)+1</f>
        <v>46.0</v>
      </c>
      <c r="G321" s="1" t="str">
        <f>"Week_"&amp;F321</f>
        <v>Week_46</v>
      </c>
    </row>
    <row r="322" spans="8:8" ht="15.1">
      <c r="A322" s="3">
        <v>44172.0</v>
      </c>
      <c r="B322" s="2">
        <v>481945.0</v>
      </c>
      <c r="C322" s="2">
        <v>6906.0</v>
      </c>
      <c r="D322" s="2">
        <f>_xlfn.IFERROR(B322-B321,0)</f>
        <v>2202.0</v>
      </c>
      <c r="E322" s="2">
        <f>_xlfn.IFERROR(C322-C321,0)</f>
        <v>32.0</v>
      </c>
      <c r="F322" s="1">
        <f>INT((A322-DATE(2020,1,22))/7)+1</f>
        <v>46.0</v>
      </c>
      <c r="G322" s="1" t="str">
        <f>"Week_"&amp;F322</f>
        <v>Week_46</v>
      </c>
    </row>
    <row r="323" spans="8:8" ht="15.1">
      <c r="A323" s="3">
        <v>44173.0</v>
      </c>
      <c r="B323" s="2">
        <v>484104.0</v>
      </c>
      <c r="C323" s="2">
        <v>6930.0</v>
      </c>
      <c r="D323" s="2">
        <f>_xlfn.IFERROR(B323-B322,0)</f>
        <v>2159.0</v>
      </c>
      <c r="E323" s="2">
        <f>_xlfn.IFERROR(C323-C322,0)</f>
        <v>24.0</v>
      </c>
      <c r="F323" s="1">
        <f>INT((A323-DATE(2020,1,22))/7)+1</f>
        <v>46.0</v>
      </c>
      <c r="G323" s="1" t="str">
        <f>"Week_"&amp;F323</f>
        <v>Week_46</v>
      </c>
    </row>
    <row r="324" spans="8:8" ht="15.1">
      <c r="A324" s="3">
        <v>44174.0</v>
      </c>
      <c r="B324" s="2">
        <v>485965.0</v>
      </c>
      <c r="C324" s="2">
        <v>6967.0</v>
      </c>
      <c r="D324" s="2">
        <f>_xlfn.IFERROR(B324-B323,0)</f>
        <v>1861.0</v>
      </c>
      <c r="E324" s="2">
        <f>_xlfn.IFERROR(C324-C323,0)</f>
        <v>37.0</v>
      </c>
      <c r="F324" s="1">
        <f>INT((A324-DATE(2020,1,22))/7)+1</f>
        <v>47.0</v>
      </c>
      <c r="G324" s="1" t="str">
        <f>"Week_"&amp;F324</f>
        <v>Week_47</v>
      </c>
    </row>
    <row r="325" spans="8:8" ht="15.1">
      <c r="A325" s="3">
        <v>44175.0</v>
      </c>
      <c r="B325" s="2">
        <v>487849.0</v>
      </c>
      <c r="C325" s="2">
        <v>6986.0</v>
      </c>
      <c r="D325" s="2">
        <f>_xlfn.IFERROR(B325-B324,0)</f>
        <v>1884.0</v>
      </c>
      <c r="E325" s="2">
        <f>_xlfn.IFERROR(C325-C324,0)</f>
        <v>19.0</v>
      </c>
      <c r="F325" s="1">
        <f>INT((A325-DATE(2020,1,22))/7)+1</f>
        <v>47.0</v>
      </c>
      <c r="G325" s="1" t="str">
        <f>"Week_"&amp;F325</f>
        <v>Week_47</v>
      </c>
    </row>
    <row r="326" spans="8:8" ht="15.1">
      <c r="A326" s="3">
        <v>44176.0</v>
      </c>
      <c r="B326" s="2">
        <v>489178.0</v>
      </c>
      <c r="C326" s="2">
        <v>7020.0</v>
      </c>
      <c r="D326" s="2">
        <f>_xlfn.IFERROR(B326-B325,0)</f>
        <v>1329.0</v>
      </c>
      <c r="E326" s="2">
        <f>_xlfn.IFERROR(C326-C325,0)</f>
        <v>34.0</v>
      </c>
      <c r="F326" s="1">
        <f>INT((A326-DATE(2020,1,22))/7)+1</f>
        <v>47.0</v>
      </c>
      <c r="G326" s="1" t="str">
        <f>"Week_"&amp;F326</f>
        <v>Week_47</v>
      </c>
    </row>
    <row r="327" spans="8:8" ht="15.1">
      <c r="A327" s="3">
        <v>44177.0</v>
      </c>
      <c r="B327" s="2">
        <v>490533.0</v>
      </c>
      <c r="C327" s="2">
        <v>7052.0</v>
      </c>
      <c r="D327" s="2">
        <f>_xlfn.IFERROR(B327-B326,0)</f>
        <v>1355.0</v>
      </c>
      <c r="E327" s="2">
        <f>_xlfn.IFERROR(C327-C326,0)</f>
        <v>32.0</v>
      </c>
      <c r="F327" s="1">
        <f>INT((A327-DATE(2020,1,22))/7)+1</f>
        <v>47.0</v>
      </c>
      <c r="G327" s="1" t="str">
        <f>"Week_"&amp;F327</f>
        <v>Week_47</v>
      </c>
    </row>
    <row r="328" spans="8:8" ht="15.1">
      <c r="A328" s="3">
        <v>44178.0</v>
      </c>
      <c r="B328" s="2">
        <v>492332.0</v>
      </c>
      <c r="C328" s="2">
        <v>7089.0</v>
      </c>
      <c r="D328" s="2">
        <f>_xlfn.IFERROR(B328-B327,0)</f>
        <v>1799.0</v>
      </c>
      <c r="E328" s="2">
        <f>_xlfn.IFERROR(C328-C327,0)</f>
        <v>37.0</v>
      </c>
      <c r="F328" s="1">
        <f>INT((A328-DATE(2020,1,22))/7)+1</f>
        <v>47.0</v>
      </c>
      <c r="G328" s="1" t="str">
        <f>"Week_"&amp;F328</f>
        <v>Week_47</v>
      </c>
    </row>
    <row r="329" spans="8:8" ht="15.1">
      <c r="A329" s="3">
        <v>44179.0</v>
      </c>
      <c r="B329" s="2">
        <v>494209.0</v>
      </c>
      <c r="C329" s="2">
        <v>7129.0</v>
      </c>
      <c r="D329" s="2">
        <f>_xlfn.IFERROR(B329-B328,0)</f>
        <v>1877.0</v>
      </c>
      <c r="E329" s="2">
        <f>_xlfn.IFERROR(C329-C328,0)</f>
        <v>40.0</v>
      </c>
      <c r="F329" s="1">
        <f>INT((A329-DATE(2020,1,22))/7)+1</f>
        <v>47.0</v>
      </c>
      <c r="G329" s="1" t="str">
        <f>"Week_"&amp;F329</f>
        <v>Week_47</v>
      </c>
    </row>
    <row r="330" spans="8:8" ht="15.1">
      <c r="A330" s="3">
        <v>44180.0</v>
      </c>
      <c r="B330" s="2">
        <v>495841.0</v>
      </c>
      <c r="C330" s="2">
        <v>7156.0</v>
      </c>
      <c r="D330" s="2">
        <f>_xlfn.IFERROR(B330-B329,0)</f>
        <v>1632.0</v>
      </c>
      <c r="E330" s="2">
        <f>_xlfn.IFERROR(C330-C329,0)</f>
        <v>27.0</v>
      </c>
      <c r="F330" s="1">
        <f>INT((A330-DATE(2020,1,22))/7)+1</f>
        <v>47.0</v>
      </c>
      <c r="G330" s="1" t="str">
        <f>"Week_"&amp;F330</f>
        <v>Week_47</v>
      </c>
    </row>
    <row r="331" spans="8:8" ht="15.1">
      <c r="A331" s="3">
        <v>44181.0</v>
      </c>
      <c r="B331" s="2">
        <v>496975.0</v>
      </c>
      <c r="C331" s="2">
        <v>7192.0</v>
      </c>
      <c r="D331" s="2">
        <f>_xlfn.IFERROR(B331-B330,0)</f>
        <v>1134.0</v>
      </c>
      <c r="E331" s="2">
        <f>_xlfn.IFERROR(C331-C330,0)</f>
        <v>36.0</v>
      </c>
      <c r="F331" s="1">
        <f>INT((A331-DATE(2020,1,22))/7)+1</f>
        <v>48.0</v>
      </c>
      <c r="G331" s="1" t="str">
        <f>"Week_"&amp;F331</f>
        <v>Week_48</v>
      </c>
    </row>
    <row r="332" spans="8:8" ht="15.1">
      <c r="A332" s="3">
        <v>44182.0</v>
      </c>
      <c r="B332" s="2">
        <v>498293.0</v>
      </c>
      <c r="C332" s="2">
        <v>7217.0</v>
      </c>
      <c r="D332" s="2">
        <f>_xlfn.IFERROR(B332-B331,0)</f>
        <v>1318.0</v>
      </c>
      <c r="E332" s="2">
        <f>_xlfn.IFERROR(C332-C331,0)</f>
        <v>25.0</v>
      </c>
      <c r="F332" s="1">
        <f>INT((A332-DATE(2020,1,22))/7)+1</f>
        <v>48.0</v>
      </c>
      <c r="G332" s="1" t="str">
        <f>"Week_"&amp;F332</f>
        <v>Week_48</v>
      </c>
    </row>
    <row r="333" spans="8:8" ht="15.1">
      <c r="A333" s="3">
        <v>44183.0</v>
      </c>
      <c r="B333" s="2">
        <v>499560.0</v>
      </c>
      <c r="C333" s="2">
        <v>7242.0</v>
      </c>
      <c r="D333" s="2">
        <f>_xlfn.IFERROR(B333-B332,0)</f>
        <v>1267.0</v>
      </c>
      <c r="E333" s="2">
        <f>_xlfn.IFERROR(C333-C332,0)</f>
        <v>25.0</v>
      </c>
      <c r="F333" s="1">
        <f>INT((A333-DATE(2020,1,22))/7)+1</f>
        <v>48.0</v>
      </c>
      <c r="G333" s="1" t="str">
        <f>"Week_"&amp;F333</f>
        <v>Week_48</v>
      </c>
    </row>
    <row r="334" spans="8:8" ht="15.1">
      <c r="A334" s="3">
        <v>44184.0</v>
      </c>
      <c r="B334" s="2">
        <v>500713.0</v>
      </c>
      <c r="C334" s="2">
        <v>7280.0</v>
      </c>
      <c r="D334" s="2">
        <f>_xlfn.IFERROR(B334-B333,0)</f>
        <v>1153.0</v>
      </c>
      <c r="E334" s="2">
        <f>_xlfn.IFERROR(C334-C333,0)</f>
        <v>38.0</v>
      </c>
      <c r="F334" s="1">
        <f>INT((A334-DATE(2020,1,22))/7)+1</f>
        <v>48.0</v>
      </c>
      <c r="G334" s="1" t="str">
        <f>"Week_"&amp;F334</f>
        <v>Week_48</v>
      </c>
    </row>
    <row r="335" spans="8:8" ht="15.1">
      <c r="A335" s="3">
        <v>44185.0</v>
      </c>
      <c r="B335" s="2">
        <v>502183.0</v>
      </c>
      <c r="C335" s="2">
        <v>7312.0</v>
      </c>
      <c r="D335" s="2">
        <f>_xlfn.IFERROR(B335-B334,0)</f>
        <v>1470.0</v>
      </c>
      <c r="E335" s="2">
        <f>_xlfn.IFERROR(C335-C334,0)</f>
        <v>32.0</v>
      </c>
      <c r="F335" s="1">
        <f>INT((A335-DATE(2020,1,22))/7)+1</f>
        <v>48.0</v>
      </c>
      <c r="G335" s="1" t="str">
        <f>"Week_"&amp;F335</f>
        <v>Week_48</v>
      </c>
    </row>
    <row r="336" spans="8:8" ht="15.1">
      <c r="A336" s="3">
        <v>44186.0</v>
      </c>
      <c r="B336" s="2">
        <v>503501.0</v>
      </c>
      <c r="C336" s="2">
        <v>7329.0</v>
      </c>
      <c r="D336" s="2">
        <f>_xlfn.IFERROR(B336-B335,0)</f>
        <v>1318.0</v>
      </c>
      <c r="E336" s="2">
        <f>_xlfn.IFERROR(C336-C335,0)</f>
        <v>17.0</v>
      </c>
      <c r="F336" s="1">
        <f>INT((A336-DATE(2020,1,22))/7)+1</f>
        <v>48.0</v>
      </c>
      <c r="G336" s="1" t="str">
        <f>"Week_"&amp;F336</f>
        <v>Week_48</v>
      </c>
    </row>
    <row r="337" spans="8:8" ht="15.1">
      <c r="A337" s="3">
        <v>44187.0</v>
      </c>
      <c r="B337" s="2">
        <v>504868.0</v>
      </c>
      <c r="C337" s="2">
        <v>7359.0</v>
      </c>
      <c r="D337" s="2">
        <f>_xlfn.IFERROR(B337-B336,0)</f>
        <v>1367.0</v>
      </c>
      <c r="E337" s="2">
        <f>_xlfn.IFERROR(C337-C336,0)</f>
        <v>30.0</v>
      </c>
      <c r="F337" s="1">
        <f>INT((A337-DATE(2020,1,22))/7)+1</f>
        <v>48.0</v>
      </c>
      <c r="G337" s="1" t="str">
        <f>"Week_"&amp;F337</f>
        <v>Week_48</v>
      </c>
    </row>
    <row r="338" spans="8:8" ht="15.1">
      <c r="A338" s="3">
        <v>44188.0</v>
      </c>
      <c r="B338" s="2">
        <v>506102.0</v>
      </c>
      <c r="C338" s="2">
        <v>7378.0</v>
      </c>
      <c r="D338" s="2">
        <f>_xlfn.IFERROR(B338-B337,0)</f>
        <v>1234.0</v>
      </c>
      <c r="E338" s="2">
        <f>_xlfn.IFERROR(C338-C337,0)</f>
        <v>19.0</v>
      </c>
      <c r="F338" s="1">
        <f>INT((A338-DATE(2020,1,22))/7)+1</f>
        <v>49.0</v>
      </c>
      <c r="G338" s="1" t="str">
        <f>"Week_"&amp;F338</f>
        <v>Week_49</v>
      </c>
    </row>
    <row r="339" spans="8:8" ht="15.1">
      <c r="A339" s="3">
        <v>44189.0</v>
      </c>
      <c r="B339" s="2">
        <v>507265.0</v>
      </c>
      <c r="C339" s="2">
        <v>7398.0</v>
      </c>
      <c r="D339" s="2">
        <f>_xlfn.IFERROR(B339-B338,0)</f>
        <v>1163.0</v>
      </c>
      <c r="E339" s="2">
        <f>_xlfn.IFERROR(C339-C338,0)</f>
        <v>20.0</v>
      </c>
      <c r="F339" s="1">
        <f>INT((A339-DATE(2020,1,22))/7)+1</f>
        <v>49.0</v>
      </c>
      <c r="G339" s="1" t="str">
        <f>"Week_"&amp;F339</f>
        <v>Week_49</v>
      </c>
    </row>
    <row r="340" spans="8:8" ht="15.1">
      <c r="A340" s="3">
        <v>44190.0</v>
      </c>
      <c r="B340" s="2">
        <v>508099.0</v>
      </c>
      <c r="C340" s="2">
        <v>7428.0</v>
      </c>
      <c r="D340" s="2">
        <f>_xlfn.IFERROR(B340-B339,0)</f>
        <v>834.0</v>
      </c>
      <c r="E340" s="2">
        <f>_xlfn.IFERROR(C340-C339,0)</f>
        <v>30.0</v>
      </c>
      <c r="F340" s="1">
        <f>INT((A340-DATE(2020,1,22))/7)+1</f>
        <v>49.0</v>
      </c>
      <c r="G340" s="1" t="str">
        <f>"Week_"&amp;F340</f>
        <v>Week_49</v>
      </c>
    </row>
    <row r="341" spans="8:8" ht="15.1">
      <c r="A341" s="3">
        <v>44191.0</v>
      </c>
      <c r="B341" s="2">
        <v>509148.0</v>
      </c>
      <c r="C341" s="2">
        <v>7452.0</v>
      </c>
      <c r="D341" s="2">
        <f>_xlfn.IFERROR(B341-B340,0)</f>
        <v>1049.0</v>
      </c>
      <c r="E341" s="2">
        <f>_xlfn.IFERROR(C341-C340,0)</f>
        <v>24.0</v>
      </c>
      <c r="F341" s="1">
        <f>INT((A341-DATE(2020,1,22))/7)+1</f>
        <v>49.0</v>
      </c>
      <c r="G341" s="1" t="str">
        <f>"Week_"&amp;F341</f>
        <v>Week_49</v>
      </c>
    </row>
    <row r="342" spans="8:8" ht="15.1">
      <c r="A342" s="3">
        <v>44192.0</v>
      </c>
      <c r="B342" s="2">
        <v>510080.0</v>
      </c>
      <c r="C342" s="2">
        <v>7479.0</v>
      </c>
      <c r="D342" s="2">
        <f>_xlfn.IFERROR(B342-B341,0)</f>
        <v>932.0</v>
      </c>
      <c r="E342" s="2">
        <f>_xlfn.IFERROR(C342-C341,0)</f>
        <v>27.0</v>
      </c>
      <c r="F342" s="1">
        <f>INT((A342-DATE(2020,1,22))/7)+1</f>
        <v>49.0</v>
      </c>
      <c r="G342" s="1" t="str">
        <f>"Week_"&amp;F342</f>
        <v>Week_49</v>
      </c>
    </row>
    <row r="343" spans="8:8" ht="15.1">
      <c r="A343" s="3">
        <v>44193.0</v>
      </c>
      <c r="B343" s="2">
        <v>511261.0</v>
      </c>
      <c r="C343" s="2">
        <v>7509.0</v>
      </c>
      <c r="D343" s="2">
        <f>_xlfn.IFERROR(B343-B342,0)</f>
        <v>1181.0</v>
      </c>
      <c r="E343" s="2">
        <f>_xlfn.IFERROR(C343-C342,0)</f>
        <v>30.0</v>
      </c>
      <c r="F343" s="1">
        <f>INT((A343-DATE(2020,1,22))/7)+1</f>
        <v>49.0</v>
      </c>
      <c r="G343" s="1" t="str">
        <f>"Week_"&amp;F343</f>
        <v>Week_49</v>
      </c>
    </row>
    <row r="344" spans="8:8" ht="15.1">
      <c r="A344" s="3">
        <v>44194.0</v>
      </c>
      <c r="B344" s="2">
        <v>512496.0</v>
      </c>
      <c r="C344" s="2">
        <v>7531.0</v>
      </c>
      <c r="D344" s="2">
        <f>_xlfn.IFERROR(B344-B343,0)</f>
        <v>1235.0</v>
      </c>
      <c r="E344" s="2">
        <f>_xlfn.IFERROR(C344-C343,0)</f>
        <v>22.0</v>
      </c>
      <c r="F344" s="1">
        <f>INT((A344-DATE(2020,1,22))/7)+1</f>
        <v>49.0</v>
      </c>
      <c r="G344" s="1" t="str">
        <f>"Week_"&amp;F344</f>
        <v>Week_49</v>
      </c>
    </row>
    <row r="345" spans="8:8" ht="15.1">
      <c r="A345" s="3">
        <v>44195.0</v>
      </c>
      <c r="B345" s="2">
        <v>513510.0</v>
      </c>
      <c r="C345" s="2">
        <v>7559.0</v>
      </c>
      <c r="D345" s="2">
        <f>_xlfn.IFERROR(B345-B344,0)</f>
        <v>1014.0</v>
      </c>
      <c r="E345" s="2">
        <f>_xlfn.IFERROR(C345-C344,0)</f>
        <v>28.0</v>
      </c>
      <c r="F345" s="1">
        <f>INT((A345-DATE(2020,1,22))/7)+1</f>
        <v>50.0</v>
      </c>
      <c r="G345" s="1" t="str">
        <f>"Week_"&amp;F345</f>
        <v>Week_50</v>
      </c>
    </row>
    <row r="346" spans="8:8" ht="15.1">
      <c r="A346" s="3">
        <v>44196.0</v>
      </c>
      <c r="B346" s="2">
        <v>514500.0</v>
      </c>
      <c r="C346" s="2">
        <v>7576.0</v>
      </c>
      <c r="D346" s="2">
        <f>_xlfn.IFERROR(B346-B345,0)</f>
        <v>990.0</v>
      </c>
      <c r="E346" s="2">
        <f>_xlfn.IFERROR(C346-C345,0)</f>
        <v>17.0</v>
      </c>
      <c r="F346" s="1">
        <f>INT((A346-DATE(2020,1,22))/7)+1</f>
        <v>50.0</v>
      </c>
      <c r="G346" s="1" t="str">
        <f>"Week_"&amp;F346</f>
        <v>Week_50</v>
      </c>
    </row>
    <row r="347" spans="8:8" ht="15.1">
      <c r="A347" s="3">
        <v>44197.0</v>
      </c>
      <c r="B347" s="2">
        <v>515184.0</v>
      </c>
      <c r="C347" s="2">
        <v>7599.0</v>
      </c>
      <c r="D347" s="2">
        <f>_xlfn.IFERROR(B347-B346,0)</f>
        <v>684.0</v>
      </c>
      <c r="E347" s="2">
        <f>_xlfn.IFERROR(C347-C346,0)</f>
        <v>23.0</v>
      </c>
      <c r="F347" s="1">
        <f>INT((A347-DATE(2020,1,22))/7)+1</f>
        <v>50.0</v>
      </c>
      <c r="G347" s="1" t="str">
        <f>"Week_"&amp;F347</f>
        <v>Week_50</v>
      </c>
    </row>
    <row r="348" spans="8:8" ht="15.1">
      <c r="A348" s="3">
        <v>44198.0</v>
      </c>
      <c r="B348" s="2">
        <v>516019.0</v>
      </c>
      <c r="C348" s="2">
        <v>7626.0</v>
      </c>
      <c r="D348" s="2">
        <f>_xlfn.IFERROR(B348-B347,0)</f>
        <v>835.0</v>
      </c>
      <c r="E348" s="2">
        <f>_xlfn.IFERROR(C348-C347,0)</f>
        <v>27.0</v>
      </c>
      <c r="F348" s="1">
        <f>INT((A348-DATE(2020,1,22))/7)+1</f>
        <v>50.0</v>
      </c>
      <c r="G348" s="1" t="str">
        <f>"Week_"&amp;F348</f>
        <v>Week_50</v>
      </c>
    </row>
    <row r="349" spans="8:8" ht="15.1">
      <c r="A349" s="3">
        <v>44199.0</v>
      </c>
      <c r="B349" s="2">
        <v>516929.0</v>
      </c>
      <c r="C349" s="2">
        <v>7650.0</v>
      </c>
      <c r="D349" s="2">
        <f>_xlfn.IFERROR(B349-B348,0)</f>
        <v>910.0</v>
      </c>
      <c r="E349" s="2">
        <f>_xlfn.IFERROR(C349-C348,0)</f>
        <v>24.0</v>
      </c>
      <c r="F349" s="1">
        <f>INT((A349-DATE(2020,1,22))/7)+1</f>
        <v>50.0</v>
      </c>
      <c r="G349" s="1" t="str">
        <f>"Week_"&amp;F349</f>
        <v>Week_50</v>
      </c>
    </row>
    <row r="350" spans="8:8" ht="15.1">
      <c r="A350" s="3">
        <v>44200.0</v>
      </c>
      <c r="B350" s="2">
        <v>517920.0</v>
      </c>
      <c r="C350" s="2">
        <v>7670.0</v>
      </c>
      <c r="D350" s="2">
        <f>_xlfn.IFERROR(B350-B349,0)</f>
        <v>991.0</v>
      </c>
      <c r="E350" s="2">
        <f>_xlfn.IFERROR(C350-C349,0)</f>
        <v>20.0</v>
      </c>
      <c r="F350" s="1">
        <f>INT((A350-DATE(2020,1,22))/7)+1</f>
        <v>50.0</v>
      </c>
      <c r="G350" s="1" t="str">
        <f>"Week_"&amp;F350</f>
        <v>Week_50</v>
      </c>
    </row>
    <row r="351" spans="8:8" ht="15.1">
      <c r="A351" s="3">
        <v>44201.0</v>
      </c>
      <c r="B351" s="2">
        <v>518898.0</v>
      </c>
      <c r="C351" s="2">
        <v>7687.0</v>
      </c>
      <c r="D351" s="2">
        <f>_xlfn.IFERROR(B351-B350,0)</f>
        <v>978.0</v>
      </c>
      <c r="E351" s="2">
        <f>_xlfn.IFERROR(C351-C350,0)</f>
        <v>17.0</v>
      </c>
      <c r="F351" s="1">
        <f>INT((A351-DATE(2020,1,22))/7)+1</f>
        <v>50.0</v>
      </c>
      <c r="G351" s="1" t="str">
        <f>"Week_"&amp;F351</f>
        <v>Week_50</v>
      </c>
    </row>
    <row r="352" spans="8:8" ht="15.1">
      <c r="A352" s="3">
        <v>44202.0</v>
      </c>
      <c r="B352" s="2">
        <v>519905.0</v>
      </c>
      <c r="C352" s="2">
        <v>7718.0</v>
      </c>
      <c r="D352" s="2">
        <f>_xlfn.IFERROR(B352-B351,0)</f>
        <v>1007.0</v>
      </c>
      <c r="E352" s="2">
        <f>_xlfn.IFERROR(C352-C351,0)</f>
        <v>31.0</v>
      </c>
      <c r="F352" s="1">
        <f>INT((A352-DATE(2020,1,22))/7)+1</f>
        <v>51.0</v>
      </c>
      <c r="G352" s="1" t="str">
        <f>"Week_"&amp;F352</f>
        <v>Week_51</v>
      </c>
    </row>
    <row r="353" spans="8:8" ht="15.1">
      <c r="A353" s="3">
        <v>44203.0</v>
      </c>
      <c r="B353" s="2">
        <v>520690.0</v>
      </c>
      <c r="C353" s="2">
        <v>7734.0</v>
      </c>
      <c r="D353" s="2">
        <f>_xlfn.IFERROR(B353-B352,0)</f>
        <v>785.0</v>
      </c>
      <c r="E353" s="2">
        <f>_xlfn.IFERROR(C353-C352,0)</f>
        <v>16.0</v>
      </c>
      <c r="F353" s="1">
        <f>INT((A353-DATE(2020,1,22))/7)+1</f>
        <v>51.0</v>
      </c>
      <c r="G353" s="1" t="str">
        <f>"Week_"&amp;F353</f>
        <v>Week_51</v>
      </c>
    </row>
    <row r="354" spans="8:8" ht="15.1">
      <c r="A354" s="3">
        <v>44204.0</v>
      </c>
      <c r="B354" s="2">
        <v>521382.0</v>
      </c>
      <c r="C354" s="2">
        <v>7756.0</v>
      </c>
      <c r="D354" s="2">
        <f>_xlfn.IFERROR(B354-B353,0)</f>
        <v>692.0</v>
      </c>
      <c r="E354" s="2">
        <f>_xlfn.IFERROR(C354-C353,0)</f>
        <v>22.0</v>
      </c>
      <c r="F354" s="1">
        <f>INT((A354-DATE(2020,1,22))/7)+1</f>
        <v>51.0</v>
      </c>
      <c r="G354" s="1" t="str">
        <f>"Week_"&amp;F354</f>
        <v>Week_51</v>
      </c>
    </row>
    <row r="355" spans="8:8" ht="15.1">
      <c r="A355" s="3">
        <v>44205.0</v>
      </c>
      <c r="B355" s="2">
        <v>522453.0</v>
      </c>
      <c r="C355" s="2">
        <v>7781.0</v>
      </c>
      <c r="D355" s="2">
        <f>_xlfn.IFERROR(B355-B354,0)</f>
        <v>1071.0</v>
      </c>
      <c r="E355" s="2">
        <f>_xlfn.IFERROR(C355-C354,0)</f>
        <v>25.0</v>
      </c>
      <c r="F355" s="1">
        <f>INT((A355-DATE(2020,1,22))/7)+1</f>
        <v>51.0</v>
      </c>
      <c r="G355" s="1" t="str">
        <f>"Week_"&amp;F355</f>
        <v>Week_51</v>
      </c>
    </row>
    <row r="356" spans="8:8" ht="15.1">
      <c r="A356" s="3">
        <v>44206.0</v>
      </c>
      <c r="B356" s="2">
        <v>523302.0</v>
      </c>
      <c r="C356" s="2">
        <v>7803.0</v>
      </c>
      <c r="D356" s="2">
        <f>_xlfn.IFERROR(B356-B355,0)</f>
        <v>849.0</v>
      </c>
      <c r="E356" s="2">
        <f>_xlfn.IFERROR(C356-C355,0)</f>
        <v>22.0</v>
      </c>
      <c r="F356" s="1">
        <f>INT((A356-DATE(2020,1,22))/7)+1</f>
        <v>51.0</v>
      </c>
      <c r="G356" s="1" t="str">
        <f>"Week_"&amp;F356</f>
        <v>Week_51</v>
      </c>
    </row>
    <row r="357" spans="8:8" ht="15.1">
      <c r="A357" s="3">
        <v>44207.0</v>
      </c>
      <c r="B357" s="2">
        <v>524020.0</v>
      </c>
      <c r="C357" s="2">
        <v>7819.0</v>
      </c>
      <c r="D357" s="2">
        <f>_xlfn.IFERROR(B357-B356,0)</f>
        <v>718.0</v>
      </c>
      <c r="E357" s="2">
        <f>_xlfn.IFERROR(C357-C356,0)</f>
        <v>16.0</v>
      </c>
      <c r="F357" s="1">
        <f>INT((A357-DATE(2020,1,22))/7)+1</f>
        <v>51.0</v>
      </c>
      <c r="G357" s="1" t="str">
        <f>"Week_"&amp;F357</f>
        <v>Week_51</v>
      </c>
    </row>
    <row r="358" spans="8:8" ht="15.1">
      <c r="A358" s="3">
        <v>44208.0</v>
      </c>
      <c r="B358" s="2">
        <v>524910.0</v>
      </c>
      <c r="C358" s="2">
        <v>7833.0</v>
      </c>
      <c r="D358" s="2">
        <f>_xlfn.IFERROR(B358-B357,0)</f>
        <v>890.0</v>
      </c>
      <c r="E358" s="2">
        <f>_xlfn.IFERROR(C358-C357,0)</f>
        <v>14.0</v>
      </c>
      <c r="F358" s="1">
        <f>INT((A358-DATE(2020,1,22))/7)+1</f>
        <v>51.0</v>
      </c>
      <c r="G358" s="1" t="str">
        <f>"Week_"&amp;F358</f>
        <v>Week_51</v>
      </c>
    </row>
    <row r="359" spans="8:8" ht="15.1">
      <c r="A359" s="3">
        <v>44209.0</v>
      </c>
      <c r="B359" s="2">
        <v>525723.0</v>
      </c>
      <c r="C359" s="2">
        <v>7849.0</v>
      </c>
      <c r="D359" s="2">
        <f>_xlfn.IFERROR(B359-B358,0)</f>
        <v>813.0</v>
      </c>
      <c r="E359" s="2">
        <f>_xlfn.IFERROR(C359-C358,0)</f>
        <v>16.0</v>
      </c>
      <c r="F359" s="1">
        <f>INT((A359-DATE(2020,1,22))/7)+1</f>
        <v>52.0</v>
      </c>
      <c r="G359" s="1" t="str">
        <f>"Week_"&amp;F359</f>
        <v>Week_52</v>
      </c>
    </row>
    <row r="360" spans="8:8" ht="15.1">
      <c r="A360" s="3">
        <v>44210.0</v>
      </c>
      <c r="B360" s="2">
        <v>526485.0</v>
      </c>
      <c r="C360" s="2">
        <v>7862.0</v>
      </c>
      <c r="D360" s="2">
        <f>_xlfn.IFERROR(B360-B359,0)</f>
        <v>762.0</v>
      </c>
      <c r="E360" s="2">
        <f>_xlfn.IFERROR(C360-C359,0)</f>
        <v>13.0</v>
      </c>
      <c r="F360" s="1">
        <f>INT((A360-DATE(2020,1,22))/7)+1</f>
        <v>52.0</v>
      </c>
      <c r="G360" s="1" t="str">
        <f>"Week_"&amp;F360</f>
        <v>Week_52</v>
      </c>
    </row>
    <row r="361" spans="8:8" ht="15.1">
      <c r="A361" s="3">
        <v>44211.0</v>
      </c>
      <c r="B361" s="2">
        <v>527063.0</v>
      </c>
      <c r="C361" s="2">
        <v>7883.0</v>
      </c>
      <c r="D361" s="2">
        <f>_xlfn.IFERROR(B361-B360,0)</f>
        <v>578.0</v>
      </c>
      <c r="E361" s="2">
        <f>_xlfn.IFERROR(C361-C360,0)</f>
        <v>21.0</v>
      </c>
      <c r="F361" s="1">
        <f>INT((A361-DATE(2020,1,22))/7)+1</f>
        <v>52.0</v>
      </c>
      <c r="G361" s="1" t="str">
        <f>"Week_"&amp;F361</f>
        <v>Week_52</v>
      </c>
    </row>
    <row r="362" spans="8:8" ht="15.1">
      <c r="A362" s="3">
        <v>44212.0</v>
      </c>
      <c r="B362" s="2">
        <v>527632.0</v>
      </c>
      <c r="C362" s="2">
        <v>7906.0</v>
      </c>
      <c r="D362" s="2">
        <f>_xlfn.IFERROR(B362-B361,0)</f>
        <v>569.0</v>
      </c>
      <c r="E362" s="2">
        <f>_xlfn.IFERROR(C362-C361,0)</f>
        <v>23.0</v>
      </c>
      <c r="F362" s="1">
        <f>INT((A362-DATE(2020,1,22))/7)+1</f>
        <v>52.0</v>
      </c>
      <c r="G362" s="1" t="str">
        <f>"Week_"&amp;F362</f>
        <v>Week_52</v>
      </c>
    </row>
    <row r="363" spans="8:8" ht="15.1">
      <c r="A363" s="3">
        <v>44213.0</v>
      </c>
      <c r="B363" s="2">
        <v>528329.0</v>
      </c>
      <c r="C363" s="2">
        <v>7922.0</v>
      </c>
      <c r="D363" s="2">
        <f>_xlfn.IFERROR(B363-B362,0)</f>
        <v>697.0</v>
      </c>
      <c r="E363" s="2">
        <f>_xlfn.IFERROR(C363-C362,0)</f>
        <v>16.0</v>
      </c>
      <c r="F363" s="1">
        <f>INT((A363-DATE(2020,1,22))/7)+1</f>
        <v>52.0</v>
      </c>
      <c r="G363" s="1" t="str">
        <f>"Week_"&amp;F363</f>
        <v>Week_52</v>
      </c>
    </row>
    <row r="364" spans="8:8" ht="15.1">
      <c r="A364" s="3">
        <v>44214.0</v>
      </c>
      <c r="B364" s="2">
        <v>529031.0</v>
      </c>
      <c r="C364" s="2">
        <v>7942.0</v>
      </c>
      <c r="D364" s="2">
        <f>_xlfn.IFERROR(B364-B363,0)</f>
        <v>702.0</v>
      </c>
      <c r="E364" s="2">
        <f>_xlfn.IFERROR(C364-C363,0)</f>
        <v>20.0</v>
      </c>
      <c r="F364" s="1">
        <f>INT((A364-DATE(2020,1,22))/7)+1</f>
        <v>52.0</v>
      </c>
      <c r="G364" s="1" t="str">
        <f>"Week_"&amp;F364</f>
        <v>Week_52</v>
      </c>
    </row>
    <row r="365" spans="8:8" ht="15.1">
      <c r="A365" s="3">
        <v>44215.0</v>
      </c>
      <c r="B365" s="2">
        <v>529687.0</v>
      </c>
      <c r="C365" s="2">
        <v>7950.0</v>
      </c>
      <c r="D365" s="2">
        <f>_xlfn.IFERROR(B365-B364,0)</f>
        <v>656.0</v>
      </c>
      <c r="E365" s="2">
        <f>_xlfn.IFERROR(C365-C364,0)</f>
        <v>8.0</v>
      </c>
      <c r="F365" s="1">
        <f>INT((A365-DATE(2020,1,22))/7)+1</f>
        <v>52.0</v>
      </c>
      <c r="G365" s="1" t="str">
        <f>"Week_"&amp;F365</f>
        <v>Week_52</v>
      </c>
    </row>
    <row r="366" spans="8:8" ht="15.1">
      <c r="A366" s="3">
        <v>44216.0</v>
      </c>
      <c r="B366" s="2">
        <v>530271.0</v>
      </c>
      <c r="C366" s="2">
        <v>7966.0</v>
      </c>
      <c r="D366" s="2">
        <f>_xlfn.IFERROR(B366-B365,0)</f>
        <v>584.0</v>
      </c>
      <c r="E366" s="2">
        <f>_xlfn.IFERROR(C366-C365,0)</f>
        <v>16.0</v>
      </c>
      <c r="F366" s="1">
        <f>INT((A366-DATE(2020,1,22))/7)+1</f>
        <v>53.0</v>
      </c>
      <c r="G366" s="1" t="str">
        <f>"Week_"&amp;F366</f>
        <v>Week_53</v>
      </c>
    </row>
    <row r="367" spans="8:8" ht="15.1">
      <c r="A367" s="3">
        <v>44217.0</v>
      </c>
      <c r="B367" s="2">
        <v>530890.0</v>
      </c>
      <c r="C367" s="2">
        <v>7981.0</v>
      </c>
      <c r="D367" s="2">
        <f>_xlfn.IFERROR(B367-B366,0)</f>
        <v>619.0</v>
      </c>
      <c r="E367" s="2">
        <f>_xlfn.IFERROR(C367-C366,0)</f>
        <v>15.0</v>
      </c>
      <c r="F367" s="1">
        <f>INT((A367-DATE(2020,1,22))/7)+1</f>
        <v>53.0</v>
      </c>
      <c r="G367" s="1" t="str">
        <f>"Week_"&amp;F367</f>
        <v>Week_53</v>
      </c>
    </row>
    <row r="368" spans="8:8" ht="15.1">
      <c r="A368" s="3">
        <v>44218.0</v>
      </c>
      <c r="B368" s="2">
        <v>531326.0</v>
      </c>
      <c r="C368" s="2">
        <v>8003.0</v>
      </c>
      <c r="D368" s="2">
        <f>_xlfn.IFERROR(B368-B367,0)</f>
        <v>436.0</v>
      </c>
      <c r="E368" s="2">
        <f>_xlfn.IFERROR(C368-C367,0)</f>
        <v>22.0</v>
      </c>
      <c r="F368" s="1">
        <f>INT((A368-DATE(2020,1,22))/7)+1</f>
        <v>53.0</v>
      </c>
      <c r="G368" s="1" t="str">
        <f>"Week_"&amp;F368</f>
        <v>Week_53</v>
      </c>
    </row>
    <row r="369" spans="8:8" ht="15.1">
      <c r="A369" s="3">
        <v>44219.0</v>
      </c>
      <c r="B369" s="2">
        <v>531799.0</v>
      </c>
      <c r="C369" s="2">
        <v>8023.0</v>
      </c>
      <c r="D369" s="2">
        <f>_xlfn.IFERROR(B369-B368,0)</f>
        <v>473.0</v>
      </c>
      <c r="E369" s="2">
        <f>_xlfn.IFERROR(C369-C368,0)</f>
        <v>20.0</v>
      </c>
      <c r="F369" s="1">
        <f>INT((A369-DATE(2020,1,22))/7)+1</f>
        <v>53.0</v>
      </c>
      <c r="G369" s="1" t="str">
        <f>"Week_"&amp;F369</f>
        <v>Week_53</v>
      </c>
    </row>
    <row r="370" spans="8:8" ht="15.1">
      <c r="A370" s="3">
        <v>44220.0</v>
      </c>
      <c r="B370" s="2">
        <v>532401.0</v>
      </c>
      <c r="C370" s="2">
        <v>8041.0</v>
      </c>
      <c r="D370" s="2">
        <f>_xlfn.IFERROR(B370-B369,0)</f>
        <v>602.0</v>
      </c>
      <c r="E370" s="2">
        <f>_xlfn.IFERROR(C370-C369,0)</f>
        <v>18.0</v>
      </c>
      <c r="F370" s="1">
        <f>INT((A370-DATE(2020,1,22))/7)+1</f>
        <v>53.0</v>
      </c>
      <c r="G370" s="1" t="str">
        <f>"Week_"&amp;F370</f>
        <v>Week_53</v>
      </c>
    </row>
    <row r="371" spans="8:8" ht="15.1">
      <c r="A371" s="3">
        <v>44221.0</v>
      </c>
      <c r="B371" s="2">
        <v>532916.0</v>
      </c>
      <c r="C371" s="2">
        <v>8055.0</v>
      </c>
      <c r="D371" s="2">
        <f>_xlfn.IFERROR(B371-B370,0)</f>
        <v>515.0</v>
      </c>
      <c r="E371" s="2">
        <f>_xlfn.IFERROR(C371-C370,0)</f>
        <v>14.0</v>
      </c>
      <c r="F371" s="1">
        <f>INT((A371-DATE(2020,1,22))/7)+1</f>
        <v>53.0</v>
      </c>
      <c r="G371" s="1" t="str">
        <f>"Week_"&amp;F371</f>
        <v>Week_53</v>
      </c>
    </row>
    <row r="372" spans="8:8" ht="15.1">
      <c r="A372" s="3">
        <v>44222.0</v>
      </c>
      <c r="B372" s="2">
        <v>533444.0</v>
      </c>
      <c r="C372" s="2">
        <v>8072.0</v>
      </c>
      <c r="D372" s="2">
        <f>_xlfn.IFERROR(B372-B371,0)</f>
        <v>528.0</v>
      </c>
      <c r="E372" s="2">
        <f>_xlfn.IFERROR(C372-C371,0)</f>
        <v>17.0</v>
      </c>
      <c r="F372" s="1">
        <f>INT((A372-DATE(2020,1,22))/7)+1</f>
        <v>53.0</v>
      </c>
      <c r="G372" s="1" t="str">
        <f>"Week_"&amp;F372</f>
        <v>Week_53</v>
      </c>
    </row>
    <row r="373" spans="8:8" ht="15.1">
      <c r="A373" s="3">
        <v>44223.0</v>
      </c>
      <c r="B373" s="2">
        <v>533953.0</v>
      </c>
      <c r="C373" s="2">
        <v>8087.0</v>
      </c>
      <c r="D373" s="2">
        <f>_xlfn.IFERROR(B373-B372,0)</f>
        <v>509.0</v>
      </c>
      <c r="E373" s="2">
        <f>_xlfn.IFERROR(C373-C372,0)</f>
        <v>15.0</v>
      </c>
      <c r="F373" s="1">
        <f>INT((A373-DATE(2020,1,22))/7)+1</f>
        <v>54.0</v>
      </c>
      <c r="G373" s="1" t="str">
        <f>"Week_"&amp;F373</f>
        <v>Week_54</v>
      </c>
    </row>
    <row r="374" spans="8:8" ht="15.1">
      <c r="A374" s="3">
        <v>44224.0</v>
      </c>
      <c r="B374" s="2">
        <v>534407.0</v>
      </c>
      <c r="C374" s="2">
        <v>8094.0</v>
      </c>
      <c r="D374" s="2">
        <f>_xlfn.IFERROR(B374-B373,0)</f>
        <v>454.0</v>
      </c>
      <c r="E374" s="2">
        <f>_xlfn.IFERROR(C374-C373,0)</f>
        <v>7.0</v>
      </c>
      <c r="F374" s="1">
        <f>INT((A374-DATE(2020,1,22))/7)+1</f>
        <v>54.0</v>
      </c>
      <c r="G374" s="1" t="str">
        <f>"Week_"&amp;F374</f>
        <v>Week_54</v>
      </c>
    </row>
    <row r="375" spans="8:8" ht="15.1">
      <c r="A375" s="3">
        <v>44225.0</v>
      </c>
      <c r="B375" s="2">
        <v>534770.0</v>
      </c>
      <c r="C375" s="2">
        <v>8111.0</v>
      </c>
      <c r="D375" s="2">
        <f>_xlfn.IFERROR(B375-B374,0)</f>
        <v>363.0</v>
      </c>
      <c r="E375" s="2">
        <f>_xlfn.IFERROR(C375-C374,0)</f>
        <v>17.0</v>
      </c>
      <c r="F375" s="1">
        <f>INT((A375-DATE(2020,1,22))/7)+1</f>
        <v>54.0</v>
      </c>
      <c r="G375" s="1" t="str">
        <f>"Week_"&amp;F375</f>
        <v>Week_54</v>
      </c>
    </row>
    <row r="376" spans="8:8" ht="15.1">
      <c r="A376" s="3">
        <v>44226.0</v>
      </c>
      <c r="B376" s="2">
        <v>535139.0</v>
      </c>
      <c r="C376" s="2">
        <v>8127.0</v>
      </c>
      <c r="D376" s="2">
        <f>_xlfn.IFERROR(B376-B375,0)</f>
        <v>369.0</v>
      </c>
      <c r="E376" s="2">
        <f>_xlfn.IFERROR(C376-C375,0)</f>
        <v>16.0</v>
      </c>
      <c r="F376" s="1">
        <f>INT((A376-DATE(2020,1,22))/7)+1</f>
        <v>54.0</v>
      </c>
      <c r="G376" s="1" t="str">
        <f>"Week_"&amp;F376</f>
        <v>Week_54</v>
      </c>
    </row>
    <row r="377" spans="8:8" ht="15.1">
      <c r="A377" s="3">
        <v>44227.0</v>
      </c>
      <c r="B377" s="2">
        <v>535582.0</v>
      </c>
      <c r="C377" s="2">
        <v>8137.0</v>
      </c>
      <c r="D377" s="2">
        <f>_xlfn.IFERROR(B377-B376,0)</f>
        <v>443.0</v>
      </c>
      <c r="E377" s="2">
        <f>_xlfn.IFERROR(C377-C376,0)</f>
        <v>10.0</v>
      </c>
      <c r="F377" s="1">
        <f>INT((A377-DATE(2020,1,22))/7)+1</f>
        <v>54.0</v>
      </c>
      <c r="G377" s="1" t="str">
        <f>"Week_"&amp;F377</f>
        <v>Week_54</v>
      </c>
    </row>
    <row r="378" spans="8:8" ht="15.1">
      <c r="A378" s="3">
        <v>44228.0</v>
      </c>
      <c r="B378" s="2">
        <v>536107.0</v>
      </c>
      <c r="C378" s="2">
        <v>8149.0</v>
      </c>
      <c r="D378" s="2">
        <f>_xlfn.IFERROR(B378-B377,0)</f>
        <v>525.0</v>
      </c>
      <c r="E378" s="2">
        <f>_xlfn.IFERROR(C378-C377,0)</f>
        <v>12.0</v>
      </c>
      <c r="F378" s="1">
        <f>INT((A378-DATE(2020,1,22))/7)+1</f>
        <v>54.0</v>
      </c>
      <c r="G378" s="1" t="str">
        <f>"Week_"&amp;F378</f>
        <v>Week_54</v>
      </c>
    </row>
    <row r="379" spans="8:8" ht="15.1">
      <c r="A379" s="3">
        <v>44229.0</v>
      </c>
      <c r="B379" s="2">
        <v>536545.0</v>
      </c>
      <c r="C379" s="2">
        <v>8162.0</v>
      </c>
      <c r="D379" s="2">
        <f>_xlfn.IFERROR(B379-B378,0)</f>
        <v>438.0</v>
      </c>
      <c r="E379" s="2">
        <f>_xlfn.IFERROR(C379-C378,0)</f>
        <v>13.0</v>
      </c>
      <c r="F379" s="1">
        <f>INT((A379-DATE(2020,1,22))/7)+1</f>
        <v>54.0</v>
      </c>
      <c r="G379" s="1" t="str">
        <f>"Week_"&amp;F379</f>
        <v>Week_54</v>
      </c>
    </row>
    <row r="380" spans="8:8" ht="15.1">
      <c r="A380" s="3">
        <v>44230.0</v>
      </c>
      <c r="B380" s="2">
        <v>537030.0</v>
      </c>
      <c r="C380" s="2">
        <v>8175.0</v>
      </c>
      <c r="D380" s="2">
        <f>_xlfn.IFERROR(B380-B379,0)</f>
        <v>485.0</v>
      </c>
      <c r="E380" s="2">
        <f>_xlfn.IFERROR(C380-C379,0)</f>
        <v>13.0</v>
      </c>
      <c r="F380" s="1">
        <f>INT((A380-DATE(2020,1,22))/7)+1</f>
        <v>55.0</v>
      </c>
      <c r="G380" s="1" t="str">
        <f>"Week_"&amp;F380</f>
        <v>Week_55</v>
      </c>
    </row>
    <row r="381" spans="8:8" ht="15.1">
      <c r="A381" s="3">
        <v>44231.0</v>
      </c>
      <c r="B381" s="2">
        <v>537465.0</v>
      </c>
      <c r="C381" s="2">
        <v>8182.0</v>
      </c>
      <c r="D381" s="2">
        <f>_xlfn.IFERROR(B381-B380,0)</f>
        <v>435.0</v>
      </c>
      <c r="E381" s="2">
        <f>_xlfn.IFERROR(C381-C380,0)</f>
        <v>7.0</v>
      </c>
      <c r="F381" s="1">
        <f>INT((A381-DATE(2020,1,22))/7)+1</f>
        <v>55.0</v>
      </c>
      <c r="G381" s="1" t="str">
        <f>"Week_"&amp;F381</f>
        <v>Week_55</v>
      </c>
    </row>
    <row r="382" spans="8:8" ht="15.1">
      <c r="A382" s="3">
        <v>44232.0</v>
      </c>
      <c r="B382" s="2">
        <v>537770.0</v>
      </c>
      <c r="C382" s="2">
        <v>8190.0</v>
      </c>
      <c r="D382" s="2">
        <f>_xlfn.IFERROR(B382-B381,0)</f>
        <v>305.0</v>
      </c>
      <c r="E382" s="2">
        <f>_xlfn.IFERROR(C382-C381,0)</f>
        <v>8.0</v>
      </c>
      <c r="F382" s="1">
        <f>INT((A382-DATE(2020,1,22))/7)+1</f>
        <v>55.0</v>
      </c>
      <c r="G382" s="1" t="str">
        <f>"Week_"&amp;F382</f>
        <v>Week_55</v>
      </c>
    </row>
    <row r="383" spans="8:8" ht="15.1">
      <c r="A383" s="3">
        <v>44233.0</v>
      </c>
      <c r="B383" s="2">
        <v>538062.0</v>
      </c>
      <c r="C383" s="2">
        <v>8205.0</v>
      </c>
      <c r="D383" s="2">
        <f>_xlfn.IFERROR(B383-B382,0)</f>
        <v>292.0</v>
      </c>
      <c r="E383" s="2">
        <f>_xlfn.IFERROR(C383-C382,0)</f>
        <v>15.0</v>
      </c>
      <c r="F383" s="1">
        <f>INT((A383-DATE(2020,1,22))/7)+1</f>
        <v>55.0</v>
      </c>
      <c r="G383" s="1" t="str">
        <f>"Week_"&amp;F383</f>
        <v>Week_55</v>
      </c>
    </row>
    <row r="384" spans="8:8" ht="15.1">
      <c r="A384" s="3">
        <v>44234.0</v>
      </c>
      <c r="B384" s="2">
        <v>538378.0</v>
      </c>
      <c r="C384" s="2">
        <v>8221.0</v>
      </c>
      <c r="D384" s="2">
        <f>_xlfn.IFERROR(B384-B383,0)</f>
        <v>316.0</v>
      </c>
      <c r="E384" s="2">
        <f>_xlfn.IFERROR(C384-C383,0)</f>
        <v>16.0</v>
      </c>
      <c r="F384" s="1">
        <f>INT((A384-DATE(2020,1,22))/7)+1</f>
        <v>55.0</v>
      </c>
      <c r="G384" s="1" t="str">
        <f>"Week_"&amp;F384</f>
        <v>Week_55</v>
      </c>
    </row>
    <row r="385" spans="8:8" ht="15.1">
      <c r="A385" s="3">
        <v>44235.0</v>
      </c>
      <c r="B385" s="2">
        <v>538765.0</v>
      </c>
      <c r="C385" s="2">
        <v>8229.0</v>
      </c>
      <c r="D385" s="2">
        <f>_xlfn.IFERROR(B385-B384,0)</f>
        <v>387.0</v>
      </c>
      <c r="E385" s="2">
        <f>_xlfn.IFERROR(C385-C384,0)</f>
        <v>8.0</v>
      </c>
      <c r="F385" s="1">
        <f>INT((A385-DATE(2020,1,22))/7)+1</f>
        <v>55.0</v>
      </c>
      <c r="G385" s="1" t="str">
        <f>"Week_"&amp;F385</f>
        <v>Week_55</v>
      </c>
    </row>
    <row r="386" spans="8:8" ht="15.1">
      <c r="A386" s="3">
        <v>44236.0</v>
      </c>
      <c r="B386" s="2">
        <v>539153.0</v>
      </c>
      <c r="C386" s="2">
        <v>8239.0</v>
      </c>
      <c r="D386" s="2">
        <f>_xlfn.IFERROR(B386-B385,0)</f>
        <v>388.0</v>
      </c>
      <c r="E386" s="2">
        <f>_xlfn.IFERROR(C386-C385,0)</f>
        <v>10.0</v>
      </c>
      <c r="F386" s="1">
        <f>INT((A386-DATE(2020,1,22))/7)+1</f>
        <v>55.0</v>
      </c>
      <c r="G386" s="1" t="str">
        <f>"Week_"&amp;F386</f>
        <v>Week_55</v>
      </c>
    </row>
    <row r="387" spans="8:8" ht="15.1">
      <c r="A387" s="3">
        <v>44237.0</v>
      </c>
      <c r="B387" s="2">
        <v>539531.0</v>
      </c>
      <c r="C387" s="2">
        <v>8248.0</v>
      </c>
      <c r="D387" s="2">
        <f>_xlfn.IFERROR(B387-B386,0)</f>
        <v>378.0</v>
      </c>
      <c r="E387" s="2">
        <f>_xlfn.IFERROR(C387-C386,0)</f>
        <v>9.0</v>
      </c>
      <c r="F387" s="1">
        <f>INT((A387-DATE(2020,1,22))/7)+1</f>
        <v>56.0</v>
      </c>
      <c r="G387" s="1" t="str">
        <f>"Week_"&amp;F387</f>
        <v>Week_56</v>
      </c>
    </row>
    <row r="388" spans="8:8" ht="15.1">
      <c r="A388" s="3">
        <v>44238.0</v>
      </c>
      <c r="B388" s="2">
        <v>539975.0</v>
      </c>
      <c r="C388" s="2">
        <v>8253.0</v>
      </c>
      <c r="D388" s="2">
        <f>_xlfn.IFERROR(B388-B387,0)</f>
        <v>444.0</v>
      </c>
      <c r="E388" s="2">
        <f>_xlfn.IFERROR(C388-C387,0)</f>
        <v>5.0</v>
      </c>
      <c r="F388" s="1">
        <f>INT((A388-DATE(2020,1,22))/7)+1</f>
        <v>56.0</v>
      </c>
      <c r="G388" s="1" t="str">
        <f>"Week_"&amp;F388</f>
        <v>Week_56</v>
      </c>
    </row>
    <row r="389" spans="8:8" ht="15.1">
      <c r="A389" s="3">
        <v>44239.0</v>
      </c>
      <c r="B389" s="2">
        <v>540266.0</v>
      </c>
      <c r="C389" s="2">
        <v>8266.0</v>
      </c>
      <c r="D389" s="2">
        <f>_xlfn.IFERROR(B389-B388,0)</f>
        <v>291.0</v>
      </c>
      <c r="E389" s="2">
        <f>_xlfn.IFERROR(C389-C388,0)</f>
        <v>13.0</v>
      </c>
      <c r="F389" s="1">
        <f>INT((A389-DATE(2020,1,22))/7)+1</f>
        <v>56.0</v>
      </c>
      <c r="G389" s="1" t="str">
        <f>"Week_"&amp;F389</f>
        <v>Week_56</v>
      </c>
    </row>
    <row r="390" spans="8:8" ht="15.1">
      <c r="A390" s="3">
        <v>44240.0</v>
      </c>
      <c r="B390" s="2">
        <v>540592.0</v>
      </c>
      <c r="C390" s="2">
        <v>8274.0</v>
      </c>
      <c r="D390" s="2">
        <f>_xlfn.IFERROR(B390-B389,0)</f>
        <v>326.0</v>
      </c>
      <c r="E390" s="2">
        <f>_xlfn.IFERROR(C390-C389,0)</f>
        <v>8.0</v>
      </c>
      <c r="F390" s="1">
        <f>INT((A390-DATE(2020,1,22))/7)+1</f>
        <v>56.0</v>
      </c>
      <c r="G390" s="1" t="str">
        <f>"Week_"&amp;F390</f>
        <v>Week_56</v>
      </c>
    </row>
    <row r="391" spans="8:8" ht="15.1">
      <c r="A391" s="3">
        <v>44241.0</v>
      </c>
      <c r="B391" s="2">
        <v>541038.0</v>
      </c>
      <c r="C391" s="2">
        <v>8285.0</v>
      </c>
      <c r="D391" s="2">
        <f>_xlfn.IFERROR(B391-B390,0)</f>
        <v>446.0</v>
      </c>
      <c r="E391" s="2">
        <f>_xlfn.IFERROR(C391-C390,0)</f>
        <v>11.0</v>
      </c>
      <c r="F391" s="1">
        <f>INT((A391-DATE(2020,1,22))/7)+1</f>
        <v>56.0</v>
      </c>
      <c r="G391" s="1" t="str">
        <f>"Week_"&amp;F391</f>
        <v>Week_56</v>
      </c>
    </row>
    <row r="392" spans="8:8" ht="15.1">
      <c r="A392" s="3">
        <v>44242.0</v>
      </c>
      <c r="B392" s="2">
        <v>541434.0</v>
      </c>
      <c r="C392" s="2">
        <v>8298.0</v>
      </c>
      <c r="D392" s="2">
        <f>_xlfn.IFERROR(B392-B391,0)</f>
        <v>396.0</v>
      </c>
      <c r="E392" s="2">
        <f>_xlfn.IFERROR(C392-C391,0)</f>
        <v>13.0</v>
      </c>
      <c r="F392" s="1">
        <f>INT((A392-DATE(2020,1,22))/7)+1</f>
        <v>56.0</v>
      </c>
      <c r="G392" s="1" t="str">
        <f>"Week_"&amp;F392</f>
        <v>Week_56</v>
      </c>
    </row>
    <row r="393" spans="8:8" ht="15.1">
      <c r="A393" s="3">
        <v>44243.0</v>
      </c>
      <c r="B393" s="2">
        <v>541877.0</v>
      </c>
      <c r="C393" s="2">
        <v>8314.0</v>
      </c>
      <c r="D393" s="2">
        <f>_xlfn.IFERROR(B393-B392,0)</f>
        <v>443.0</v>
      </c>
      <c r="E393" s="2">
        <f>_xlfn.IFERROR(C393-C392,0)</f>
        <v>16.0</v>
      </c>
      <c r="F393" s="1">
        <f>INT((A393-DATE(2020,1,22))/7)+1</f>
        <v>56.0</v>
      </c>
      <c r="G393" s="1" t="str">
        <f>"Week_"&amp;F393</f>
        <v>Week_56</v>
      </c>
    </row>
    <row r="394" spans="8:8" ht="15.1">
      <c r="A394" s="3">
        <v>44244.0</v>
      </c>
      <c r="B394" s="2">
        <v>542268.0</v>
      </c>
      <c r="C394" s="2">
        <v>8329.0</v>
      </c>
      <c r="D394" s="2">
        <f>_xlfn.IFERROR(B394-B393,0)</f>
        <v>391.0</v>
      </c>
      <c r="E394" s="2">
        <f>_xlfn.IFERROR(C394-C393,0)</f>
        <v>15.0</v>
      </c>
      <c r="F394" s="1">
        <f>INT((A394-DATE(2020,1,22))/7)+1</f>
        <v>57.0</v>
      </c>
      <c r="G394" s="1" t="str">
        <f>"Week_"&amp;F394</f>
        <v>Week_57</v>
      </c>
    </row>
    <row r="395" spans="8:8" ht="15.1">
      <c r="A395" s="3">
        <v>44245.0</v>
      </c>
      <c r="B395" s="2">
        <v>542674.0</v>
      </c>
      <c r="C395" s="2">
        <v>8337.0</v>
      </c>
      <c r="D395" s="2">
        <f>_xlfn.IFERROR(B395-B394,0)</f>
        <v>406.0</v>
      </c>
      <c r="E395" s="2">
        <f>_xlfn.IFERROR(C395-C394,0)</f>
        <v>8.0</v>
      </c>
      <c r="F395" s="1">
        <f>INT((A395-DATE(2020,1,22))/7)+1</f>
        <v>57.0</v>
      </c>
      <c r="G395" s="1" t="str">
        <f>"Week_"&amp;F395</f>
        <v>Week_57</v>
      </c>
    </row>
    <row r="396" spans="8:8" ht="15.1">
      <c r="A396" s="3">
        <v>44246.0</v>
      </c>
      <c r="B396" s="2">
        <v>543024.0</v>
      </c>
      <c r="C396" s="2">
        <v>8342.0</v>
      </c>
      <c r="D396" s="2">
        <f>_xlfn.IFERROR(B396-B395,0)</f>
        <v>350.0</v>
      </c>
      <c r="E396" s="2">
        <f>_xlfn.IFERROR(C396-C395,0)</f>
        <v>5.0</v>
      </c>
      <c r="F396" s="1">
        <f>INT((A396-DATE(2020,1,22))/7)+1</f>
        <v>57.0</v>
      </c>
      <c r="G396" s="1" t="str">
        <f>"Week_"&amp;F396</f>
        <v>Week_57</v>
      </c>
    </row>
    <row r="397" spans="8:8" ht="15.1">
      <c r="A397" s="3">
        <v>44247.0</v>
      </c>
      <c r="B397" s="2">
        <v>543351.0</v>
      </c>
      <c r="C397" s="2">
        <v>8349.0</v>
      </c>
      <c r="D397" s="2">
        <f>_xlfn.IFERROR(B397-B396,0)</f>
        <v>327.0</v>
      </c>
      <c r="E397" s="2">
        <f>_xlfn.IFERROR(C397-C396,0)</f>
        <v>7.0</v>
      </c>
      <c r="F397" s="1">
        <f>INT((A397-DATE(2020,1,22))/7)+1</f>
        <v>57.0</v>
      </c>
      <c r="G397" s="1" t="str">
        <f>"Week_"&amp;F397</f>
        <v>Week_57</v>
      </c>
    </row>
    <row r="398" spans="8:8" ht="15.1">
      <c r="A398" s="3">
        <v>44248.0</v>
      </c>
      <c r="B398" s="2">
        <v>543717.0</v>
      </c>
      <c r="C398" s="2">
        <v>8356.0</v>
      </c>
      <c r="D398" s="2">
        <f>_xlfn.IFERROR(B398-B397,0)</f>
        <v>366.0</v>
      </c>
      <c r="E398" s="2">
        <f>_xlfn.IFERROR(C398-C397,0)</f>
        <v>7.0</v>
      </c>
      <c r="F398" s="1">
        <f>INT((A398-DATE(2020,1,22))/7)+1</f>
        <v>57.0</v>
      </c>
      <c r="G398" s="1" t="str">
        <f>"Week_"&amp;F398</f>
        <v>Week_57</v>
      </c>
    </row>
    <row r="399" spans="8:8" ht="15.1">
      <c r="A399" s="3">
        <v>44249.0</v>
      </c>
      <c r="B399" s="2">
        <v>544116.0</v>
      </c>
      <c r="C399" s="2">
        <v>8374.0</v>
      </c>
      <c r="D399" s="2">
        <f>_xlfn.IFERROR(B399-B398,0)</f>
        <v>399.0</v>
      </c>
      <c r="E399" s="2">
        <f>_xlfn.IFERROR(C399-C398,0)</f>
        <v>18.0</v>
      </c>
      <c r="F399" s="1">
        <f>INT((A399-DATE(2020,1,22))/7)+1</f>
        <v>57.0</v>
      </c>
      <c r="G399" s="1" t="str">
        <f>"Week_"&amp;F399</f>
        <v>Week_57</v>
      </c>
    </row>
    <row r="400" spans="8:8" ht="15.1">
      <c r="A400" s="3">
        <v>44250.0</v>
      </c>
      <c r="B400" s="2">
        <v>544544.0</v>
      </c>
      <c r="C400" s="2">
        <v>8379.0</v>
      </c>
      <c r="D400" s="2">
        <f>_xlfn.IFERROR(B400-B399,0)</f>
        <v>428.0</v>
      </c>
      <c r="E400" s="2">
        <f>_xlfn.IFERROR(C400-C399,0)</f>
        <v>5.0</v>
      </c>
      <c r="F400" s="1">
        <f>INT((A400-DATE(2020,1,22))/7)+1</f>
        <v>57.0</v>
      </c>
      <c r="G400" s="1" t="str">
        <f>"Week_"&amp;F400</f>
        <v>Week_57</v>
      </c>
    </row>
    <row r="401" spans="8:8" ht="15.1">
      <c r="A401" s="3">
        <v>44251.0</v>
      </c>
      <c r="B401" s="2">
        <v>544954.0</v>
      </c>
      <c r="C401" s="2">
        <v>8384.0</v>
      </c>
      <c r="D401" s="2">
        <f>_xlfn.IFERROR(B401-B400,0)</f>
        <v>410.0</v>
      </c>
      <c r="E401" s="2">
        <f>_xlfn.IFERROR(C401-C400,0)</f>
        <v>5.0</v>
      </c>
      <c r="F401" s="1">
        <f>INT((A401-DATE(2020,1,22))/7)+1</f>
        <v>58.0</v>
      </c>
      <c r="G401" s="1" t="str">
        <f>"Week_"&amp;F401</f>
        <v>Week_58</v>
      </c>
    </row>
    <row r="402" spans="8:8" ht="15.1">
      <c r="A402" s="3">
        <v>44252.0</v>
      </c>
      <c r="B402" s="2">
        <v>545424.0</v>
      </c>
      <c r="C402" s="2">
        <v>8395.0</v>
      </c>
      <c r="D402" s="2">
        <f>_xlfn.IFERROR(B402-B401,0)</f>
        <v>470.0</v>
      </c>
      <c r="E402" s="2">
        <f>_xlfn.IFERROR(C402-C401,0)</f>
        <v>11.0</v>
      </c>
      <c r="F402" s="1">
        <f>INT((A402-DATE(2020,1,22))/7)+1</f>
        <v>58.0</v>
      </c>
      <c r="G402" s="1" t="str">
        <f>"Week_"&amp;F402</f>
        <v>Week_58</v>
      </c>
    </row>
    <row r="403" spans="8:8" ht="15.1">
      <c r="A403" s="3">
        <v>44253.0</v>
      </c>
      <c r="B403" s="2">
        <v>545831.0</v>
      </c>
      <c r="C403" s="2">
        <v>8400.0</v>
      </c>
      <c r="D403" s="2">
        <f>_xlfn.IFERROR(B403-B402,0)</f>
        <v>407.0</v>
      </c>
      <c r="E403" s="2">
        <f>_xlfn.IFERROR(C403-C402,0)</f>
        <v>5.0</v>
      </c>
      <c r="F403" s="1">
        <f>INT((A403-DATE(2020,1,22))/7)+1</f>
        <v>58.0</v>
      </c>
      <c r="G403" s="1" t="str">
        <f>"Week_"&amp;F403</f>
        <v>Week_58</v>
      </c>
    </row>
    <row r="404" spans="8:8" ht="15.1">
      <c r="A404" s="3">
        <v>44254.0</v>
      </c>
      <c r="B404" s="2">
        <v>546216.0</v>
      </c>
      <c r="C404" s="2">
        <v>8408.0</v>
      </c>
      <c r="D404" s="2">
        <f>_xlfn.IFERROR(B404-B403,0)</f>
        <v>385.0</v>
      </c>
      <c r="E404" s="2">
        <f>_xlfn.IFERROR(C404-C403,0)</f>
        <v>8.0</v>
      </c>
      <c r="F404" s="1">
        <f>INT((A404-DATE(2020,1,22))/7)+1</f>
        <v>58.0</v>
      </c>
      <c r="G404" s="1" t="str">
        <f>"Week_"&amp;F404</f>
        <v>Week_58</v>
      </c>
    </row>
    <row r="405" spans="8:8" ht="15.1">
      <c r="A405" s="3">
        <v>44255.0</v>
      </c>
      <c r="B405" s="2">
        <v>546801.0</v>
      </c>
      <c r="C405" s="2">
        <v>8416.0</v>
      </c>
      <c r="D405" s="2">
        <f>_xlfn.IFERROR(B405-B404,0)</f>
        <v>585.0</v>
      </c>
      <c r="E405" s="2">
        <f>_xlfn.IFERROR(C405-C404,0)</f>
        <v>8.0</v>
      </c>
      <c r="F405" s="1">
        <f>INT((A405-DATE(2020,1,22))/7)+1</f>
        <v>58.0</v>
      </c>
      <c r="G405" s="1" t="str">
        <f>"Week_"&amp;F405</f>
        <v>Week_58</v>
      </c>
    </row>
    <row r="406" spans="8:8" ht="15.1">
      <c r="A406" s="3">
        <v>44256.0</v>
      </c>
      <c r="B406" s="2">
        <v>547316.0</v>
      </c>
      <c r="C406" s="2">
        <v>8423.0</v>
      </c>
      <c r="D406" s="2">
        <f>_xlfn.IFERROR(B406-B405,0)</f>
        <v>515.0</v>
      </c>
      <c r="E406" s="2">
        <f>_xlfn.IFERROR(C406-C405,0)</f>
        <v>7.0</v>
      </c>
      <c r="F406" s="1">
        <f>INT((A406-DATE(2020,1,22))/7)+1</f>
        <v>58.0</v>
      </c>
      <c r="G406" s="1" t="str">
        <f>"Week_"&amp;F406</f>
        <v>Week_58</v>
      </c>
    </row>
    <row r="407" spans="8:8" ht="15.1">
      <c r="A407" s="3">
        <v>44257.0</v>
      </c>
      <c r="B407" s="2">
        <v>547930.0</v>
      </c>
      <c r="C407" s="2">
        <v>8428.0</v>
      </c>
      <c r="D407" s="2">
        <f>_xlfn.IFERROR(B407-B406,0)</f>
        <v>614.0</v>
      </c>
      <c r="E407" s="2">
        <f>_xlfn.IFERROR(C407-C406,0)</f>
        <v>5.0</v>
      </c>
      <c r="F407" s="1">
        <f>INT((A407-DATE(2020,1,22))/7)+1</f>
        <v>58.0</v>
      </c>
      <c r="G407" s="1" t="str">
        <f>"Week_"&amp;F407</f>
        <v>Week_58</v>
      </c>
    </row>
    <row r="408" spans="8:8" ht="15.1">
      <c r="A408" s="3">
        <v>44258.0</v>
      </c>
      <c r="B408" s="2">
        <v>548549.0</v>
      </c>
      <c r="C408" s="2">
        <v>8435.0</v>
      </c>
      <c r="D408" s="2">
        <f>_xlfn.IFERROR(B408-B407,0)</f>
        <v>619.0</v>
      </c>
      <c r="E408" s="2">
        <f>_xlfn.IFERROR(C408-C407,0)</f>
        <v>7.0</v>
      </c>
      <c r="F408" s="1">
        <f>INT((A408-DATE(2020,1,22))/7)+1</f>
        <v>59.0</v>
      </c>
      <c r="G408" s="1" t="str">
        <f>"Week_"&amp;F408</f>
        <v>Week_59</v>
      </c>
    </row>
    <row r="409" spans="8:8" ht="15.1">
      <c r="A409" s="3">
        <v>44259.0</v>
      </c>
      <c r="B409" s="2">
        <v>549184.0</v>
      </c>
      <c r="C409" s="2">
        <v>8441.0</v>
      </c>
      <c r="D409" s="2">
        <f>_xlfn.IFERROR(B409-B408,0)</f>
        <v>635.0</v>
      </c>
      <c r="E409" s="2">
        <f>_xlfn.IFERROR(C409-C408,0)</f>
        <v>6.0</v>
      </c>
      <c r="F409" s="1">
        <f>INT((A409-DATE(2020,1,22))/7)+1</f>
        <v>59.0</v>
      </c>
      <c r="G409" s="1" t="str">
        <f>"Week_"&amp;F409</f>
        <v>Week_59</v>
      </c>
    </row>
    <row r="410" spans="8:8" ht="15.1">
      <c r="A410" s="3">
        <v>44260.0</v>
      </c>
      <c r="B410" s="2">
        <v>549724.0</v>
      </c>
      <c r="C410" s="2">
        <v>8451.0</v>
      </c>
      <c r="D410" s="2">
        <f>_xlfn.IFERROR(B410-B409,0)</f>
        <v>540.0</v>
      </c>
      <c r="E410" s="2">
        <f>_xlfn.IFERROR(C410-C409,0)</f>
        <v>10.0</v>
      </c>
      <c r="F410" s="1">
        <f>INT((A410-DATE(2020,1,22))/7)+1</f>
        <v>59.0</v>
      </c>
      <c r="G410" s="1" t="str">
        <f>"Week_"&amp;F410</f>
        <v>Week_59</v>
      </c>
    </row>
    <row r="411" spans="8:8" ht="15.1">
      <c r="A411" s="3">
        <v>44261.0</v>
      </c>
      <c r="B411" s="2">
        <v>550330.0</v>
      </c>
      <c r="C411" s="2">
        <v>8462.0</v>
      </c>
      <c r="D411" s="2">
        <f>_xlfn.IFERROR(B411-B410,0)</f>
        <v>606.0</v>
      </c>
      <c r="E411" s="2">
        <f>_xlfn.IFERROR(C411-C410,0)</f>
        <v>11.0</v>
      </c>
      <c r="F411" s="1">
        <f>INT((A411-DATE(2020,1,22))/7)+1</f>
        <v>59.0</v>
      </c>
      <c r="G411" s="1" t="str">
        <f>"Week_"&amp;F411</f>
        <v>Week_59</v>
      </c>
    </row>
    <row r="412" spans="8:8" ht="15.1">
      <c r="A412" s="3">
        <v>44262.0</v>
      </c>
      <c r="B412" s="2">
        <v>551175.0</v>
      </c>
      <c r="C412" s="2">
        <v>8476.0</v>
      </c>
      <c r="D412" s="2">
        <f>_xlfn.IFERROR(B412-B411,0)</f>
        <v>845.0</v>
      </c>
      <c r="E412" s="2">
        <f>_xlfn.IFERROR(C412-C411,0)</f>
        <v>14.0</v>
      </c>
      <c r="F412" s="1">
        <f>INT((A412-DATE(2020,1,22))/7)+1</f>
        <v>59.0</v>
      </c>
      <c r="G412" s="1" t="str">
        <f>"Week_"&amp;F412</f>
        <v>Week_59</v>
      </c>
    </row>
    <row r="413" spans="8:8" ht="15.1">
      <c r="A413" s="3">
        <v>44263.0</v>
      </c>
      <c r="B413" s="2">
        <v>552087.0</v>
      </c>
      <c r="C413" s="2">
        <v>8489.0</v>
      </c>
      <c r="D413" s="2">
        <f>_xlfn.IFERROR(B413-B412,0)</f>
        <v>912.0</v>
      </c>
      <c r="E413" s="2">
        <f>_xlfn.IFERROR(C413-C412,0)</f>
        <v>13.0</v>
      </c>
      <c r="F413" s="1">
        <f>INT((A413-DATE(2020,1,22))/7)+1</f>
        <v>59.0</v>
      </c>
      <c r="G413" s="1" t="str">
        <f>"Week_"&amp;F413</f>
        <v>Week_59</v>
      </c>
    </row>
    <row r="414" spans="8:8" ht="15.1">
      <c r="A414" s="3">
        <v>44264.0</v>
      </c>
      <c r="B414" s="2">
        <v>553105.0</v>
      </c>
      <c r="C414" s="2">
        <v>8496.0</v>
      </c>
      <c r="D414" s="2">
        <f>_xlfn.IFERROR(B414-B413,0)</f>
        <v>1018.0</v>
      </c>
      <c r="E414" s="2">
        <f>_xlfn.IFERROR(C414-C413,0)</f>
        <v>7.0</v>
      </c>
      <c r="F414" s="1">
        <f>INT((A414-DATE(2020,1,22))/7)+1</f>
        <v>59.0</v>
      </c>
      <c r="G414" s="1" t="str">
        <f>"Week_"&amp;F414</f>
        <v>Week_59</v>
      </c>
    </row>
    <row r="415" spans="8:8" ht="15.1">
      <c r="A415" s="3">
        <v>44265.0</v>
      </c>
      <c r="B415" s="2">
        <v>554156.0</v>
      </c>
      <c r="C415" s="2">
        <v>8502.0</v>
      </c>
      <c r="D415" s="2">
        <f>_xlfn.IFERROR(B415-B414,0)</f>
        <v>1051.0</v>
      </c>
      <c r="E415" s="2">
        <f>_xlfn.IFERROR(C415-C414,0)</f>
        <v>6.0</v>
      </c>
      <c r="F415" s="1">
        <f>INT((A415-DATE(2020,1,22))/7)+1</f>
        <v>60.0</v>
      </c>
      <c r="G415" s="1" t="str">
        <f>"Week_"&amp;F415</f>
        <v>Week_60</v>
      </c>
    </row>
    <row r="416" spans="8:8" ht="15.1">
      <c r="A416" s="3">
        <v>44266.0</v>
      </c>
      <c r="B416" s="2">
        <v>555222.0</v>
      </c>
      <c r="C416" s="2">
        <v>8515.0</v>
      </c>
      <c r="D416" s="2">
        <f>_xlfn.IFERROR(B416-B415,0)</f>
        <v>1066.0</v>
      </c>
      <c r="E416" s="2">
        <f>_xlfn.IFERROR(C416-C415,0)</f>
        <v>13.0</v>
      </c>
      <c r="F416" s="1">
        <f>INT((A416-DATE(2020,1,22))/7)+1</f>
        <v>60.0</v>
      </c>
      <c r="G416" s="1" t="str">
        <f>"Week_"&amp;F416</f>
        <v>Week_60</v>
      </c>
    </row>
    <row r="417" spans="8:8" ht="15.1">
      <c r="A417" s="3">
        <v>44267.0</v>
      </c>
      <c r="B417" s="2">
        <v>556236.0</v>
      </c>
      <c r="C417" s="2">
        <v>8527.0</v>
      </c>
      <c r="D417" s="2">
        <f>_xlfn.IFERROR(B417-B416,0)</f>
        <v>1014.0</v>
      </c>
      <c r="E417" s="2">
        <f>_xlfn.IFERROR(C417-C416,0)</f>
        <v>12.0</v>
      </c>
      <c r="F417" s="1">
        <f>INT((A417-DATE(2020,1,22))/7)+1</f>
        <v>60.0</v>
      </c>
      <c r="G417" s="1" t="str">
        <f>"Week_"&amp;F417</f>
        <v>Week_60</v>
      </c>
    </row>
    <row r="418" spans="8:8" ht="15.1">
      <c r="A418" s="3">
        <v>44268.0</v>
      </c>
      <c r="B418" s="2">
        <v>557395.0</v>
      </c>
      <c r="C418" s="2">
        <v>8545.0</v>
      </c>
      <c r="D418" s="2">
        <f>_xlfn.IFERROR(B418-B417,0)</f>
        <v>1159.0</v>
      </c>
      <c r="E418" s="2">
        <f>_xlfn.IFERROR(C418-C417,0)</f>
        <v>18.0</v>
      </c>
      <c r="F418" s="1">
        <f>INT((A418-DATE(2020,1,22))/7)+1</f>
        <v>60.0</v>
      </c>
      <c r="G418" s="1" t="str">
        <f>"Week_"&amp;F418</f>
        <v>Week_60</v>
      </c>
    </row>
    <row r="419" spans="8:8" ht="15.1">
      <c r="A419" s="3">
        <v>44269.0</v>
      </c>
      <c r="B419" s="2">
        <v>559168.0</v>
      </c>
      <c r="C419" s="2">
        <v>8571.0</v>
      </c>
      <c r="D419" s="2">
        <f>_xlfn.IFERROR(B419-B418,0)</f>
        <v>1773.0</v>
      </c>
      <c r="E419" s="2">
        <f>_xlfn.IFERROR(C419-C418,0)</f>
        <v>26.0</v>
      </c>
      <c r="F419" s="1">
        <f>INT((A419-DATE(2020,1,22))/7)+1</f>
        <v>60.0</v>
      </c>
      <c r="G419" s="1" t="str">
        <f>"Week_"&amp;F419</f>
        <v>Week_60</v>
      </c>
    </row>
    <row r="420" spans="8:8" ht="15.1">
      <c r="A420" s="3">
        <v>44270.0</v>
      </c>
      <c r="B420" s="2">
        <v>560887.0</v>
      </c>
      <c r="C420" s="2">
        <v>8597.0</v>
      </c>
      <c r="D420" s="2">
        <f>_xlfn.IFERROR(B420-B419,0)</f>
        <v>1719.0</v>
      </c>
      <c r="E420" s="2">
        <f>_xlfn.IFERROR(C420-C419,0)</f>
        <v>26.0</v>
      </c>
      <c r="F420" s="1">
        <f>INT((A420-DATE(2020,1,22))/7)+1</f>
        <v>60.0</v>
      </c>
      <c r="G420" s="1" t="str">
        <f>"Week_"&amp;F420</f>
        <v>Week_60</v>
      </c>
    </row>
    <row r="421" spans="8:8" ht="15.1">
      <c r="A421" s="3">
        <v>44271.0</v>
      </c>
      <c r="B421" s="2">
        <v>562752.0</v>
      </c>
      <c r="C421" s="2">
        <v>8608.0</v>
      </c>
      <c r="D421" s="2">
        <f>_xlfn.IFERROR(B421-B420,0)</f>
        <v>1865.0</v>
      </c>
      <c r="E421" s="2">
        <f>_xlfn.IFERROR(C421-C420,0)</f>
        <v>11.0</v>
      </c>
      <c r="F421" s="1">
        <f>INT((A421-DATE(2020,1,22))/7)+1</f>
        <v>60.0</v>
      </c>
      <c r="G421" s="1" t="str">
        <f>"Week_"&amp;F421</f>
        <v>Week_60</v>
      </c>
    </row>
    <row r="422" spans="8:8" ht="15.1">
      <c r="A422" s="3">
        <v>44272.0</v>
      </c>
      <c r="B422" s="2">
        <v>564939.0</v>
      </c>
      <c r="C422" s="2">
        <v>8624.0</v>
      </c>
      <c r="D422" s="2">
        <f>_xlfn.IFERROR(B422-B421,0)</f>
        <v>2187.0</v>
      </c>
      <c r="E422" s="2">
        <f>_xlfn.IFERROR(C422-C421,0)</f>
        <v>16.0</v>
      </c>
      <c r="F422" s="1">
        <f>INT((A422-DATE(2020,1,22))/7)+1</f>
        <v>61.0</v>
      </c>
      <c r="G422" s="1" t="str">
        <f>"Week_"&amp;F422</f>
        <v>Week_61</v>
      </c>
    </row>
    <row r="423" spans="8:8" ht="15.1">
      <c r="A423" s="3">
        <v>44273.0</v>
      </c>
      <c r="B423" s="2">
        <v>566838.0</v>
      </c>
      <c r="C423" s="2">
        <v>8642.0</v>
      </c>
      <c r="D423" s="2">
        <f>_xlfn.IFERROR(B423-B422,0)</f>
        <v>1899.0</v>
      </c>
      <c r="E423" s="2">
        <f>_xlfn.IFERROR(C423-C422,0)</f>
        <v>18.0</v>
      </c>
      <c r="F423" s="1">
        <f>INT((A423-DATE(2020,1,22))/7)+1</f>
        <v>61.0</v>
      </c>
      <c r="G423" s="1" t="str">
        <f>"Week_"&amp;F423</f>
        <v>Week_61</v>
      </c>
    </row>
    <row r="424" spans="8:8" ht="15.1">
      <c r="A424" s="3">
        <v>44274.0</v>
      </c>
      <c r="B424" s="2">
        <v>568706.0</v>
      </c>
      <c r="C424" s="2">
        <v>8668.0</v>
      </c>
      <c r="D424" s="2">
        <f>_xlfn.IFERROR(B424-B423,0)</f>
        <v>1868.0</v>
      </c>
      <c r="E424" s="2">
        <f>_xlfn.IFERROR(C424-C423,0)</f>
        <v>26.0</v>
      </c>
      <c r="F424" s="1">
        <f>INT((A424-DATE(2020,1,22))/7)+1</f>
        <v>61.0</v>
      </c>
      <c r="G424" s="1" t="str">
        <f>"Week_"&amp;F424</f>
        <v>Week_61</v>
      </c>
    </row>
    <row r="425" spans="8:8" ht="15.1">
      <c r="A425" s="3">
        <v>44275.0</v>
      </c>
      <c r="B425" s="2">
        <v>570878.0</v>
      </c>
      <c r="C425" s="2">
        <v>8690.0</v>
      </c>
      <c r="D425" s="2">
        <f>_xlfn.IFERROR(B425-B424,0)</f>
        <v>2172.0</v>
      </c>
      <c r="E425" s="2">
        <f>_xlfn.IFERROR(C425-C424,0)</f>
        <v>22.0</v>
      </c>
      <c r="F425" s="1">
        <f>INT((A425-DATE(2020,1,22))/7)+1</f>
        <v>61.0</v>
      </c>
      <c r="G425" s="1" t="str">
        <f>"Week_"&amp;F425</f>
        <v>Week_61</v>
      </c>
    </row>
    <row r="426" spans="8:8" ht="15.1">
      <c r="A426" s="3">
        <v>44276.0</v>
      </c>
      <c r="B426" s="2">
        <v>573687.0</v>
      </c>
      <c r="C426" s="2">
        <v>8720.0</v>
      </c>
      <c r="D426" s="2">
        <f>_xlfn.IFERROR(B426-B425,0)</f>
        <v>2809.0</v>
      </c>
      <c r="E426" s="2">
        <f>_xlfn.IFERROR(C426-C425,0)</f>
        <v>30.0</v>
      </c>
      <c r="F426" s="1">
        <f>INT((A426-DATE(2020,1,22))/7)+1</f>
        <v>61.0</v>
      </c>
      <c r="G426" s="1" t="str">
        <f>"Week_"&amp;F426</f>
        <v>Week_61</v>
      </c>
    </row>
    <row r="427" spans="8:8" ht="15.1">
      <c r="A427" s="3">
        <v>44277.0</v>
      </c>
      <c r="B427" s="2">
        <v>577241.0</v>
      </c>
      <c r="C427" s="2">
        <v>8738.0</v>
      </c>
      <c r="D427" s="2">
        <f>_xlfn.IFERROR(B427-B426,0)</f>
        <v>3554.0</v>
      </c>
      <c r="E427" s="2">
        <f>_xlfn.IFERROR(C427-C426,0)</f>
        <v>18.0</v>
      </c>
      <c r="F427" s="1">
        <f>INT((A427-DATE(2020,1,22))/7)+1</f>
        <v>61.0</v>
      </c>
      <c r="G427" s="1" t="str">
        <f>"Week_"&amp;F427</f>
        <v>Week_61</v>
      </c>
    </row>
    <row r="428" spans="8:8" ht="15.1">
      <c r="A428" s="3">
        <v>44278.0</v>
      </c>
      <c r="B428" s="2">
        <v>580808.0</v>
      </c>
      <c r="C428" s="2">
        <v>8763.0</v>
      </c>
      <c r="D428" s="2">
        <f>_xlfn.IFERROR(B428-B427,0)</f>
        <v>3567.0</v>
      </c>
      <c r="E428" s="2">
        <f>_xlfn.IFERROR(C428-C427,0)</f>
        <v>25.0</v>
      </c>
      <c r="F428" s="1">
        <f>INT((A428-DATE(2020,1,22))/7)+1</f>
        <v>61.0</v>
      </c>
      <c r="G428" s="1" t="str">
        <f>"Week_"&amp;F428</f>
        <v>Week_61</v>
      </c>
    </row>
    <row r="429" spans="8:8" ht="15.1">
      <c r="A429" s="3">
        <v>44279.0</v>
      </c>
      <c r="B429" s="2">
        <v>584395.0</v>
      </c>
      <c r="C429" s="2">
        <v>8797.0</v>
      </c>
      <c r="D429" s="2">
        <f>_xlfn.IFERROR(B429-B428,0)</f>
        <v>3587.0</v>
      </c>
      <c r="E429" s="2">
        <f>_xlfn.IFERROR(C429-C428,0)</f>
        <v>34.0</v>
      </c>
      <c r="F429" s="1">
        <f>INT((A429-DATE(2020,1,22))/7)+1</f>
        <v>62.0</v>
      </c>
      <c r="G429" s="1" t="str">
        <f>"Week_"&amp;F429</f>
        <v>Week_62</v>
      </c>
    </row>
    <row r="430" spans="8:8" ht="15.1">
      <c r="A430" s="3">
        <v>44280.0</v>
      </c>
      <c r="B430" s="2">
        <v>588132.0</v>
      </c>
      <c r="C430" s="2">
        <v>8830.0</v>
      </c>
      <c r="D430" s="2">
        <f>_xlfn.IFERROR(B430-B429,0)</f>
        <v>3737.0</v>
      </c>
      <c r="E430" s="2">
        <f>_xlfn.IFERROR(C430-C429,0)</f>
        <v>33.0</v>
      </c>
      <c r="F430" s="1">
        <f>INT((A430-DATE(2020,1,22))/7)+1</f>
        <v>62.0</v>
      </c>
      <c r="G430" s="1" t="str">
        <f>"Week_"&amp;F430</f>
        <v>Week_62</v>
      </c>
    </row>
    <row r="431" spans="8:8" ht="15.1">
      <c r="A431" s="3">
        <v>44281.0</v>
      </c>
      <c r="B431" s="2">
        <v>591806.0</v>
      </c>
      <c r="C431" s="2">
        <v>8869.0</v>
      </c>
      <c r="D431" s="2">
        <f>_xlfn.IFERROR(B431-B430,0)</f>
        <v>3674.0</v>
      </c>
      <c r="E431" s="2">
        <f>_xlfn.IFERROR(C431-C430,0)</f>
        <v>39.0</v>
      </c>
      <c r="F431" s="1">
        <f>INT((A431-DATE(2020,1,22))/7)+1</f>
        <v>62.0</v>
      </c>
      <c r="G431" s="1" t="str">
        <f>"Week_"&amp;F431</f>
        <v>Week_62</v>
      </c>
    </row>
    <row r="432" spans="8:8" ht="15.1">
      <c r="A432" s="3">
        <v>44282.0</v>
      </c>
      <c r="B432" s="2">
        <v>595714.0</v>
      </c>
      <c r="C432" s="2">
        <v>8904.0</v>
      </c>
      <c r="D432" s="2">
        <f>_xlfn.IFERROR(B432-B431,0)</f>
        <v>3908.0</v>
      </c>
      <c r="E432" s="2">
        <f>_xlfn.IFERROR(C432-C431,0)</f>
        <v>35.0</v>
      </c>
      <c r="F432" s="1">
        <f>INT((A432-DATE(2020,1,22))/7)+1</f>
        <v>62.0</v>
      </c>
      <c r="G432" s="1" t="str">
        <f>"Week_"&amp;F432</f>
        <v>Week_62</v>
      </c>
    </row>
    <row r="433" spans="8:8" ht="15.1">
      <c r="A433" s="3">
        <v>44283.0</v>
      </c>
      <c r="B433" s="2">
        <v>600895.0</v>
      </c>
      <c r="C433" s="2">
        <v>8949.0</v>
      </c>
      <c r="D433" s="2">
        <f>_xlfn.IFERROR(B433-B432,0)</f>
        <v>5181.0</v>
      </c>
      <c r="E433" s="2">
        <f>_xlfn.IFERROR(C433-C432,0)</f>
        <v>45.0</v>
      </c>
      <c r="F433" s="1">
        <f>INT((A433-DATE(2020,1,22))/7)+1</f>
        <v>62.0</v>
      </c>
      <c r="G433" s="1" t="str">
        <f>"Week_"&amp;F433</f>
        <v>Week_62</v>
      </c>
    </row>
    <row r="434" spans="8:8" ht="15.1">
      <c r="A434" s="3">
        <v>44284.0</v>
      </c>
      <c r="B434" s="2">
        <v>605937.0</v>
      </c>
      <c r="C434" s="2">
        <v>8994.0</v>
      </c>
      <c r="D434" s="2">
        <f>_xlfn.IFERROR(B434-B433,0)</f>
        <v>5042.0</v>
      </c>
      <c r="E434" s="2">
        <f>_xlfn.IFERROR(C434-C433,0)</f>
        <v>45.0</v>
      </c>
      <c r="F434" s="1">
        <f>INT((A434-DATE(2020,1,22))/7)+1</f>
        <v>62.0</v>
      </c>
      <c r="G434" s="1" t="str">
        <f>"Week_"&amp;F434</f>
        <v>Week_62</v>
      </c>
    </row>
    <row r="435" spans="8:8" ht="15.1">
      <c r="A435" s="3">
        <v>44285.0</v>
      </c>
      <c r="B435" s="2">
        <v>611295.0</v>
      </c>
      <c r="C435" s="2">
        <v>9046.0</v>
      </c>
      <c r="D435" s="2">
        <f>_xlfn.IFERROR(B435-B434,0)</f>
        <v>5358.0</v>
      </c>
      <c r="E435" s="2">
        <f>_xlfn.IFERROR(C435-C434,0)</f>
        <v>52.0</v>
      </c>
      <c r="F435" s="1">
        <f>INT((A435-DATE(2020,1,22))/7)+1</f>
        <v>62.0</v>
      </c>
      <c r="G435" s="1" t="str">
        <f>"Week_"&amp;F435</f>
        <v>Week_62</v>
      </c>
    </row>
    <row r="436" spans="8:8" ht="15.1">
      <c r="A436" s="3">
        <v>44286.0</v>
      </c>
      <c r="B436" s="2">
        <v>617764.0</v>
      </c>
      <c r="C436" s="2">
        <v>9105.0</v>
      </c>
      <c r="D436" s="2">
        <f>_xlfn.IFERROR(B436-B435,0)</f>
        <v>6469.0</v>
      </c>
      <c r="E436" s="2">
        <f>_xlfn.IFERROR(C436-C435,0)</f>
        <v>59.0</v>
      </c>
      <c r="F436" s="1">
        <f>INT((A436-DATE(2020,1,22))/7)+1</f>
        <v>63.0</v>
      </c>
      <c r="G436" s="1" t="str">
        <f>"Week_"&amp;F436</f>
        <v>Week_63</v>
      </c>
    </row>
    <row r="437" spans="8:8" ht="15.1">
      <c r="A437" s="3">
        <v>44287.0</v>
      </c>
      <c r="B437" s="2">
        <v>624594.0</v>
      </c>
      <c r="C437" s="2">
        <v>9155.0</v>
      </c>
      <c r="D437" s="2">
        <f>_xlfn.IFERROR(B437-B436,0)</f>
        <v>6830.0</v>
      </c>
      <c r="E437" s="2">
        <f>_xlfn.IFERROR(C437-C436,0)</f>
        <v>50.0</v>
      </c>
      <c r="F437" s="1">
        <f>INT((A437-DATE(2020,1,22))/7)+1</f>
        <v>63.0</v>
      </c>
      <c r="G437" s="1" t="str">
        <f>"Week_"&amp;F437</f>
        <v>Week_63</v>
      </c>
    </row>
    <row r="438" spans="8:8" ht="15.1">
      <c r="A438" s="3">
        <v>44288.0</v>
      </c>
      <c r="B438" s="2">
        <v>630277.0</v>
      </c>
      <c r="C438" s="2">
        <v>9213.0</v>
      </c>
      <c r="D438" s="2">
        <f>_xlfn.IFERROR(B438-B437,0)</f>
        <v>5683.0</v>
      </c>
      <c r="E438" s="2">
        <f>_xlfn.IFERROR(C438-C437,0)</f>
        <v>58.0</v>
      </c>
      <c r="F438" s="1">
        <f>INT((A438-DATE(2020,1,22))/7)+1</f>
        <v>63.0</v>
      </c>
      <c r="G438" s="1" t="str">
        <f>"Week_"&amp;F438</f>
        <v>Week_63</v>
      </c>
    </row>
    <row r="439" spans="8:8" ht="15.1">
      <c r="A439" s="3">
        <v>44289.0</v>
      </c>
      <c r="B439" s="2">
        <v>637364.0</v>
      </c>
      <c r="C439" s="2">
        <v>9266.0</v>
      </c>
      <c r="D439" s="2">
        <f>_xlfn.IFERROR(B439-B438,0)</f>
        <v>7087.0</v>
      </c>
      <c r="E439" s="2">
        <f>_xlfn.IFERROR(C439-C438,0)</f>
        <v>53.0</v>
      </c>
      <c r="F439" s="1">
        <f>INT((A439-DATE(2020,1,22))/7)+1</f>
        <v>63.0</v>
      </c>
      <c r="G439" s="1" t="str">
        <f>"Week_"&amp;F439</f>
        <v>Week_63</v>
      </c>
    </row>
    <row r="440" spans="8:8" ht="15.1">
      <c r="A440" s="3">
        <v>44290.0</v>
      </c>
      <c r="B440" s="2">
        <v>644439.0</v>
      </c>
      <c r="C440" s="2">
        <v>9318.0</v>
      </c>
      <c r="D440" s="2">
        <f>_xlfn.IFERROR(B440-B439,0)</f>
        <v>7075.0</v>
      </c>
      <c r="E440" s="2">
        <f>_xlfn.IFERROR(C440-C439,0)</f>
        <v>52.0</v>
      </c>
      <c r="F440" s="1">
        <f>INT((A440-DATE(2020,1,22))/7)+1</f>
        <v>63.0</v>
      </c>
      <c r="G440" s="1" t="str">
        <f>"Week_"&amp;F440</f>
        <v>Week_63</v>
      </c>
    </row>
    <row r="441" spans="8:8" ht="15.1">
      <c r="A441" s="3">
        <v>44291.0</v>
      </c>
      <c r="B441" s="2">
        <v>651652.0</v>
      </c>
      <c r="C441" s="2">
        <v>9384.0</v>
      </c>
      <c r="D441" s="2">
        <f>_xlfn.IFERROR(B441-B440,0)</f>
        <v>7213.0</v>
      </c>
      <c r="E441" s="2">
        <f>_xlfn.IFERROR(C441-C440,0)</f>
        <v>66.0</v>
      </c>
      <c r="F441" s="1">
        <f>INT((A441-DATE(2020,1,22))/7)+1</f>
        <v>63.0</v>
      </c>
      <c r="G441" s="1" t="str">
        <f>"Week_"&amp;F441</f>
        <v>Week_63</v>
      </c>
    </row>
    <row r="442" spans="8:8" ht="15.1">
      <c r="A442" s="3">
        <v>44292.0</v>
      </c>
      <c r="B442" s="2">
        <v>659278.0</v>
      </c>
      <c r="C442" s="2">
        <v>9447.0</v>
      </c>
      <c r="D442" s="2">
        <f>_xlfn.IFERROR(B442-B441,0)</f>
        <v>7626.0</v>
      </c>
      <c r="E442" s="2">
        <f>_xlfn.IFERROR(C442-C441,0)</f>
        <v>63.0</v>
      </c>
      <c r="F442" s="1">
        <f>INT((A442-DATE(2020,1,22))/7)+1</f>
        <v>63.0</v>
      </c>
      <c r="G442" s="1" t="str">
        <f>"Week_"&amp;F442</f>
        <v>Week_63</v>
      </c>
    </row>
    <row r="443" spans="8:8" ht="15.1">
      <c r="A443" s="3">
        <v>44293.0</v>
      </c>
      <c r="B443" s="2">
        <v>666132.0</v>
      </c>
      <c r="C443" s="2">
        <v>9521.0</v>
      </c>
      <c r="D443" s="2">
        <f>_xlfn.IFERROR(B443-B442,0)</f>
        <v>6854.0</v>
      </c>
      <c r="E443" s="2">
        <f>_xlfn.IFERROR(C443-C442,0)</f>
        <v>74.0</v>
      </c>
      <c r="F443" s="1">
        <f>INT((A443-DATE(2020,1,22))/7)+1</f>
        <v>64.0</v>
      </c>
      <c r="G443" s="1" t="str">
        <f>"Week_"&amp;F443</f>
        <v>Week_64</v>
      </c>
    </row>
    <row r="444" spans="8:8" ht="15.1">
      <c r="A444" s="3">
        <v>44294.0</v>
      </c>
      <c r="B444" s="2">
        <v>673594.0</v>
      </c>
      <c r="C444" s="2">
        <v>9584.0</v>
      </c>
      <c r="D444" s="2">
        <f>_xlfn.IFERROR(B444-B443,0)</f>
        <v>7462.0</v>
      </c>
      <c r="E444" s="2">
        <f>_xlfn.IFERROR(C444-C443,0)</f>
        <v>63.0</v>
      </c>
      <c r="F444" s="1">
        <f>INT((A444-DATE(2020,1,22))/7)+1</f>
        <v>64.0</v>
      </c>
      <c r="G444" s="1" t="str">
        <f>"Week_"&amp;F444</f>
        <v>Week_64</v>
      </c>
    </row>
    <row r="445" spans="8:8" ht="15.1">
      <c r="A445" s="3">
        <v>44295.0</v>
      </c>
      <c r="B445" s="2">
        <v>678937.0</v>
      </c>
      <c r="C445" s="2">
        <v>9661.0</v>
      </c>
      <c r="D445" s="2">
        <f>_xlfn.IFERROR(B445-B444,0)</f>
        <v>5343.0</v>
      </c>
      <c r="E445" s="2">
        <f>_xlfn.IFERROR(C445-C444,0)</f>
        <v>77.0</v>
      </c>
      <c r="F445" s="1">
        <f>INT((A445-DATE(2020,1,22))/7)+1</f>
        <v>64.0</v>
      </c>
      <c r="G445" s="1" t="str">
        <f>"Week_"&amp;F445</f>
        <v>Week_64</v>
      </c>
    </row>
    <row r="446" spans="8:8" ht="15.1">
      <c r="A446" s="3">
        <v>44296.0</v>
      </c>
      <c r="B446" s="2">
        <v>684756.0</v>
      </c>
      <c r="C446" s="2">
        <v>9739.0</v>
      </c>
      <c r="D446" s="2">
        <f>_xlfn.IFERROR(B446-B445,0)</f>
        <v>5819.0</v>
      </c>
      <c r="E446" s="2">
        <f>_xlfn.IFERROR(C446-C445,0)</f>
        <v>78.0</v>
      </c>
      <c r="F446" s="1">
        <f>INT((A446-DATE(2020,1,22))/7)+1</f>
        <v>64.0</v>
      </c>
      <c r="G446" s="1" t="str">
        <f>"Week_"&amp;F446</f>
        <v>Week_64</v>
      </c>
    </row>
    <row r="447" spans="8:8" ht="15.1">
      <c r="A447" s="3">
        <v>44297.0</v>
      </c>
      <c r="B447" s="2">
        <v>691957.0</v>
      </c>
      <c r="C447" s="2">
        <v>9822.0</v>
      </c>
      <c r="D447" s="2">
        <f>_xlfn.IFERROR(B447-B446,0)</f>
        <v>7201.0</v>
      </c>
      <c r="E447" s="2">
        <f>_xlfn.IFERROR(C447-C446,0)</f>
        <v>83.0</v>
      </c>
      <c r="F447" s="1">
        <f>INT((A447-DATE(2020,1,22))/7)+1</f>
        <v>64.0</v>
      </c>
      <c r="G447" s="1" t="str">
        <f>"Week_"&amp;F447</f>
        <v>Week_64</v>
      </c>
    </row>
    <row r="448" spans="8:8" ht="15.1">
      <c r="A448" s="3">
        <v>44298.0</v>
      </c>
      <c r="B448" s="2">
        <v>697985.0</v>
      </c>
      <c r="C448" s="2">
        <v>9891.0</v>
      </c>
      <c r="D448" s="2">
        <f>_xlfn.IFERROR(B448-B447,0)</f>
        <v>6028.0</v>
      </c>
      <c r="E448" s="2">
        <f>_xlfn.IFERROR(C448-C447,0)</f>
        <v>69.0</v>
      </c>
      <c r="F448" s="1">
        <f>INT((A448-DATE(2020,1,22))/7)+1</f>
        <v>64.0</v>
      </c>
      <c r="G448" s="1" t="str">
        <f>"Week_"&amp;F448</f>
        <v>Week_64</v>
      </c>
    </row>
    <row r="449" spans="8:8" ht="15.1">
      <c r="A449" s="3">
        <v>44299.0</v>
      </c>
      <c r="B449" s="2">
        <v>703170.0</v>
      </c>
      <c r="C449" s="2">
        <v>9987.0</v>
      </c>
      <c r="D449" s="2">
        <f>_xlfn.IFERROR(B449-B448,0)</f>
        <v>5185.0</v>
      </c>
      <c r="E449" s="2">
        <f>_xlfn.IFERROR(C449-C448,0)</f>
        <v>96.0</v>
      </c>
      <c r="F449" s="1">
        <f>INT((A449-DATE(2020,1,22))/7)+1</f>
        <v>64.0</v>
      </c>
      <c r="G449" s="1" t="str">
        <f>"Week_"&amp;F449</f>
        <v>Week_64</v>
      </c>
    </row>
    <row r="450" spans="8:8" ht="15.1">
      <c r="A450" s="3">
        <v>44300.0</v>
      </c>
      <c r="B450" s="2">
        <v>707362.0</v>
      </c>
      <c r="C450" s="2">
        <v>10081.0</v>
      </c>
      <c r="D450" s="2">
        <f>_xlfn.IFERROR(B450-B449,0)</f>
        <v>4192.0</v>
      </c>
      <c r="E450" s="2">
        <f>_xlfn.IFERROR(C450-C449,0)</f>
        <v>94.0</v>
      </c>
      <c r="F450" s="1">
        <f>INT((A450-DATE(2020,1,22))/7)+1</f>
        <v>65.0</v>
      </c>
      <c r="G450" s="1" t="str">
        <f>"Week_"&amp;F450</f>
        <v>Week_65</v>
      </c>
    </row>
    <row r="451" spans="8:8" ht="15.1">
      <c r="A451" s="3">
        <v>44301.0</v>
      </c>
      <c r="B451" s="2">
        <v>711779.0</v>
      </c>
      <c r="C451" s="2">
        <v>10182.0</v>
      </c>
      <c r="D451" s="2">
        <f>_xlfn.IFERROR(B451-B450,0)</f>
        <v>4417.0</v>
      </c>
      <c r="E451" s="2">
        <f>_xlfn.IFERROR(C451-C450,0)</f>
        <v>101.0</v>
      </c>
      <c r="F451" s="1">
        <f>INT((A451-DATE(2020,1,22))/7)+1</f>
        <v>65.0</v>
      </c>
      <c r="G451" s="1" t="str">
        <f>"Week_"&amp;F451</f>
        <v>Week_65</v>
      </c>
    </row>
    <row r="452" spans="8:8" ht="15.1">
      <c r="A452" s="3">
        <v>44302.0</v>
      </c>
      <c r="B452" s="2">
        <v>715252.0</v>
      </c>
      <c r="C452" s="2">
        <v>10283.0</v>
      </c>
      <c r="D452" s="2">
        <f>_xlfn.IFERROR(B452-B451,0)</f>
        <v>3473.0</v>
      </c>
      <c r="E452" s="2">
        <f>_xlfn.IFERROR(C452-C451,0)</f>
        <v>101.0</v>
      </c>
      <c r="F452" s="1">
        <f>INT((A452-DATE(2020,1,22))/7)+1</f>
        <v>65.0</v>
      </c>
      <c r="G452" s="1" t="str">
        <f>"Week_"&amp;F452</f>
        <v>Week_65</v>
      </c>
    </row>
    <row r="453" spans="8:8" ht="15.1">
      <c r="A453" s="3">
        <v>44303.0</v>
      </c>
      <c r="B453" s="2">
        <v>718950.0</v>
      </c>
      <c r="C453" s="2">
        <v>10385.0</v>
      </c>
      <c r="D453" s="2">
        <f>_xlfn.IFERROR(B453-B452,0)</f>
        <v>3698.0</v>
      </c>
      <c r="E453" s="2">
        <f>_xlfn.IFERROR(C453-C452,0)</f>
        <v>102.0</v>
      </c>
      <c r="F453" s="1">
        <f>INT((A453-DATE(2020,1,22))/7)+1</f>
        <v>65.0</v>
      </c>
      <c r="G453" s="1" t="str">
        <f>"Week_"&amp;F453</f>
        <v>Week_65</v>
      </c>
    </row>
    <row r="454" spans="8:8" ht="15.1">
      <c r="A454" s="3">
        <v>44304.0</v>
      </c>
      <c r="B454" s="2">
        <v>723221.0</v>
      </c>
      <c r="C454" s="2">
        <v>10497.0</v>
      </c>
      <c r="D454" s="2">
        <f>_xlfn.IFERROR(B454-B453,0)</f>
        <v>4271.0</v>
      </c>
      <c r="E454" s="2">
        <f>_xlfn.IFERROR(C454-C453,0)</f>
        <v>112.0</v>
      </c>
      <c r="F454" s="1">
        <f>INT((A454-DATE(2020,1,22))/7)+1</f>
        <v>65.0</v>
      </c>
      <c r="G454" s="1" t="str">
        <f>"Week_"&amp;F454</f>
        <v>Week_65</v>
      </c>
    </row>
    <row r="455" spans="8:8" ht="15.1">
      <c r="A455" s="3">
        <v>44305.0</v>
      </c>
      <c r="B455" s="2">
        <v>727780.0</v>
      </c>
      <c r="C455" s="2">
        <v>10588.0</v>
      </c>
      <c r="D455" s="2">
        <f>_xlfn.IFERROR(B455-B454,0)</f>
        <v>4559.0</v>
      </c>
      <c r="E455" s="2">
        <f>_xlfn.IFERROR(C455-C454,0)</f>
        <v>91.0</v>
      </c>
      <c r="F455" s="1">
        <f>INT((A455-DATE(2020,1,22))/7)+1</f>
        <v>65.0</v>
      </c>
      <c r="G455" s="1" t="str">
        <f>"Week_"&amp;F455</f>
        <v>Week_65</v>
      </c>
    </row>
    <row r="456" spans="8:8" ht="15.1">
      <c r="A456" s="3">
        <v>44306.0</v>
      </c>
      <c r="B456" s="2">
        <v>732060.0</v>
      </c>
      <c r="C456" s="2">
        <v>10683.0</v>
      </c>
      <c r="D456" s="2">
        <f>_xlfn.IFERROR(B456-B455,0)</f>
        <v>4280.0</v>
      </c>
      <c r="E456" s="2">
        <f>_xlfn.IFERROR(C456-C455,0)</f>
        <v>95.0</v>
      </c>
      <c r="F456" s="1">
        <f>INT((A456-DATE(2020,1,22))/7)+1</f>
        <v>65.0</v>
      </c>
      <c r="G456" s="1" t="str">
        <f>"Week_"&amp;F456</f>
        <v>Week_65</v>
      </c>
    </row>
    <row r="457" spans="8:8" ht="15.1">
      <c r="A457" s="3">
        <v>44307.0</v>
      </c>
      <c r="B457" s="2">
        <v>736074.0</v>
      </c>
      <c r="C457" s="2">
        <v>10781.0</v>
      </c>
      <c r="D457" s="2">
        <f>_xlfn.IFERROR(B457-B456,0)</f>
        <v>4014.0</v>
      </c>
      <c r="E457" s="2">
        <f>_xlfn.IFERROR(C457-C456,0)</f>
        <v>98.0</v>
      </c>
      <c r="F457" s="1">
        <f>INT((A457-DATE(2020,1,22))/7)+1</f>
        <v>66.0</v>
      </c>
      <c r="G457" s="1" t="str">
        <f>"Week_"&amp;F457</f>
        <v>Week_66</v>
      </c>
    </row>
    <row r="458" spans="8:8" ht="15.1">
      <c r="A458" s="3">
        <v>44308.0</v>
      </c>
      <c r="B458" s="2">
        <v>739703.0</v>
      </c>
      <c r="C458" s="2">
        <v>10869.0</v>
      </c>
      <c r="D458" s="2">
        <f>_xlfn.IFERROR(B458-B457,0)</f>
        <v>3629.0</v>
      </c>
      <c r="E458" s="2">
        <f>_xlfn.IFERROR(C458-C457,0)</f>
        <v>88.0</v>
      </c>
      <c r="F458" s="1">
        <f>INT((A458-DATE(2020,1,22))/7)+1</f>
        <v>66.0</v>
      </c>
      <c r="G458" s="1" t="str">
        <f>"Week_"&amp;F458</f>
        <v>Week_66</v>
      </c>
    </row>
    <row r="459" spans="8:8" ht="15.1">
      <c r="A459" s="3">
        <v>44309.0</v>
      </c>
      <c r="B459" s="2">
        <v>742400.0</v>
      </c>
      <c r="C459" s="2">
        <v>10952.0</v>
      </c>
      <c r="D459" s="2">
        <f>_xlfn.IFERROR(B459-B458,0)</f>
        <v>2697.0</v>
      </c>
      <c r="E459" s="2">
        <f>_xlfn.IFERROR(C459-C458,0)</f>
        <v>83.0</v>
      </c>
      <c r="F459" s="1">
        <f>INT((A459-DATE(2020,1,22))/7)+1</f>
        <v>66.0</v>
      </c>
      <c r="G459" s="1" t="str">
        <f>"Week_"&amp;F459</f>
        <v>Week_66</v>
      </c>
    </row>
    <row r="460" spans="8:8" ht="15.1">
      <c r="A460" s="3">
        <v>44310.0</v>
      </c>
      <c r="B460" s="2">
        <v>745322.0</v>
      </c>
      <c r="C460" s="2">
        <v>11053.0</v>
      </c>
      <c r="D460" s="2">
        <f>_xlfn.IFERROR(B460-B459,0)</f>
        <v>2922.0</v>
      </c>
      <c r="E460" s="2">
        <f>_xlfn.IFERROR(C460-C459,0)</f>
        <v>101.0</v>
      </c>
      <c r="F460" s="1">
        <f>INT((A460-DATE(2020,1,22))/7)+1</f>
        <v>66.0</v>
      </c>
      <c r="G460" s="1" t="str">
        <f>"Week_"&amp;F460</f>
        <v>Week_66</v>
      </c>
    </row>
    <row r="461" spans="8:8" ht="15.1">
      <c r="A461" s="3">
        <v>44311.0</v>
      </c>
      <c r="B461" s="2">
        <v>748628.0</v>
      </c>
      <c r="C461" s="2">
        <v>11150.0</v>
      </c>
      <c r="D461" s="2">
        <f>_xlfn.IFERROR(B461-B460,0)</f>
        <v>3306.0</v>
      </c>
      <c r="E461" s="2">
        <f>_xlfn.IFERROR(C461-C460,0)</f>
        <v>97.0</v>
      </c>
      <c r="F461" s="1">
        <f>INT((A461-DATE(2020,1,22))/7)+1</f>
        <v>66.0</v>
      </c>
      <c r="G461" s="1" t="str">
        <f>"Week_"&amp;F461</f>
        <v>Week_66</v>
      </c>
    </row>
    <row r="462" spans="8:8" ht="15.1">
      <c r="A462" s="3">
        <v>44312.0</v>
      </c>
      <c r="B462" s="2">
        <v>751659.0</v>
      </c>
      <c r="C462" s="2">
        <v>11228.0</v>
      </c>
      <c r="D462" s="2">
        <f>_xlfn.IFERROR(B462-B461,0)</f>
        <v>3031.0</v>
      </c>
      <c r="E462" s="2">
        <f>_xlfn.IFERROR(C462-C461,0)</f>
        <v>78.0</v>
      </c>
      <c r="F462" s="1">
        <f>INT((A462-DATE(2020,1,22))/7)+1</f>
        <v>66.0</v>
      </c>
      <c r="G462" s="1" t="str">
        <f>"Week_"&amp;F462</f>
        <v>Week_66</v>
      </c>
    </row>
    <row r="463" spans="8:8" ht="15.1">
      <c r="A463" s="3">
        <v>44313.0</v>
      </c>
      <c r="B463" s="2">
        <v>754614.0</v>
      </c>
      <c r="C463" s="2">
        <v>11305.0</v>
      </c>
      <c r="D463" s="2">
        <f>_xlfn.IFERROR(B463-B462,0)</f>
        <v>2955.0</v>
      </c>
      <c r="E463" s="2">
        <f>_xlfn.IFERROR(C463-C462,0)</f>
        <v>77.0</v>
      </c>
      <c r="F463" s="1">
        <f>INT((A463-DATE(2020,1,22))/7)+1</f>
        <v>66.0</v>
      </c>
      <c r="G463" s="1" t="str">
        <f>"Week_"&amp;F463</f>
        <v>Week_66</v>
      </c>
    </row>
    <row r="464" spans="8:8" ht="15.1">
      <c r="A464" s="3">
        <v>44314.0</v>
      </c>
      <c r="B464" s="2">
        <v>756955.0</v>
      </c>
      <c r="C464" s="2">
        <v>11393.0</v>
      </c>
      <c r="D464" s="2">
        <f>_xlfn.IFERROR(B464-B463,0)</f>
        <v>2341.0</v>
      </c>
      <c r="E464" s="2">
        <f>_xlfn.IFERROR(C464-C463,0)</f>
        <v>88.0</v>
      </c>
      <c r="F464" s="1">
        <f>INT((A464-DATE(2020,1,22))/7)+1</f>
        <v>67.0</v>
      </c>
      <c r="G464" s="1" t="str">
        <f>"Week_"&amp;F464</f>
        <v>Week_67</v>
      </c>
    </row>
    <row r="465" spans="8:8" ht="15.1">
      <c r="A465" s="3">
        <v>44315.0</v>
      </c>
      <c r="B465" s="2">
        <v>759132.0</v>
      </c>
      <c r="C465" s="2">
        <v>11450.0</v>
      </c>
      <c r="D465" s="2">
        <f>_xlfn.IFERROR(B465-B464,0)</f>
        <v>2177.0</v>
      </c>
      <c r="E465" s="2">
        <f>_xlfn.IFERROR(C465-C464,0)</f>
        <v>57.0</v>
      </c>
      <c r="F465" s="1">
        <f>INT((A465-DATE(2020,1,22))/7)+1</f>
        <v>67.0</v>
      </c>
      <c r="G465" s="1" t="str">
        <f>"Week_"&amp;F465</f>
        <v>Week_67</v>
      </c>
    </row>
    <row r="466" spans="8:8" ht="15.1">
      <c r="A466" s="3">
        <v>44316.0</v>
      </c>
      <c r="B466" s="2">
        <v>760584.0</v>
      </c>
      <c r="C466" s="2">
        <v>11510.0</v>
      </c>
      <c r="D466" s="2">
        <f>_xlfn.IFERROR(B466-B465,0)</f>
        <v>1452.0</v>
      </c>
      <c r="E466" s="2">
        <f>_xlfn.IFERROR(C466-C465,0)</f>
        <v>60.0</v>
      </c>
      <c r="F466" s="1">
        <f>INT((A466-DATE(2020,1,22))/7)+1</f>
        <v>67.0</v>
      </c>
      <c r="G466" s="1" t="str">
        <f>"Week_"&amp;F466</f>
        <v>Week_67</v>
      </c>
    </row>
    <row r="467" spans="8:8" ht="15.1">
      <c r="A467" s="3">
        <v>44317.0</v>
      </c>
      <c r="B467" s="2">
        <v>761943.0</v>
      </c>
      <c r="C467" s="2">
        <v>11579.0</v>
      </c>
      <c r="D467" s="2">
        <f>_xlfn.IFERROR(B467-B466,0)</f>
        <v>1359.0</v>
      </c>
      <c r="E467" s="2">
        <f>_xlfn.IFERROR(C467-C466,0)</f>
        <v>69.0</v>
      </c>
      <c r="F467" s="1">
        <f>INT((A467-DATE(2020,1,22))/7)+1</f>
        <v>67.0</v>
      </c>
      <c r="G467" s="1" t="str">
        <f>"Week_"&amp;F467</f>
        <v>Week_67</v>
      </c>
    </row>
    <row r="468" spans="8:8" ht="15.1">
      <c r="A468" s="3">
        <v>44318.0</v>
      </c>
      <c r="B468" s="2">
        <v>763682.0</v>
      </c>
      <c r="C468" s="2">
        <v>11644.0</v>
      </c>
      <c r="D468" s="2">
        <f>_xlfn.IFERROR(B468-B467,0)</f>
        <v>1739.0</v>
      </c>
      <c r="E468" s="2">
        <f>_xlfn.IFERROR(C468-C467,0)</f>
        <v>65.0</v>
      </c>
      <c r="F468" s="1">
        <f>INT((A468-DATE(2020,1,22))/7)+1</f>
        <v>67.0</v>
      </c>
      <c r="G468" s="1" t="str">
        <f>"Week_"&amp;F468</f>
        <v>Week_67</v>
      </c>
    </row>
    <row r="469" spans="8:8" ht="15.1">
      <c r="A469" s="3">
        <v>44319.0</v>
      </c>
      <c r="B469" s="2">
        <v>765596.0</v>
      </c>
      <c r="C469" s="2">
        <v>11705.0</v>
      </c>
      <c r="D469" s="2">
        <f>_xlfn.IFERROR(B469-B468,0)</f>
        <v>1914.0</v>
      </c>
      <c r="E469" s="2">
        <f>_xlfn.IFERROR(C469-C468,0)</f>
        <v>61.0</v>
      </c>
      <c r="F469" s="1">
        <f>INT((A469-DATE(2020,1,22))/7)+1</f>
        <v>67.0</v>
      </c>
      <c r="G469" s="1" t="str">
        <f>"Week_"&amp;F469</f>
        <v>Week_67</v>
      </c>
    </row>
    <row r="470" spans="8:8" ht="15.1">
      <c r="A470" s="3">
        <v>44320.0</v>
      </c>
      <c r="B470" s="2">
        <v>767338.0</v>
      </c>
      <c r="C470" s="2">
        <v>11755.0</v>
      </c>
      <c r="D470" s="2">
        <f>_xlfn.IFERROR(B470-B469,0)</f>
        <v>1742.0</v>
      </c>
      <c r="E470" s="2">
        <f>_xlfn.IFERROR(C470-C469,0)</f>
        <v>50.0</v>
      </c>
      <c r="F470" s="1">
        <f>INT((A470-DATE(2020,1,22))/7)+1</f>
        <v>67.0</v>
      </c>
      <c r="G470" s="1" t="str">
        <f>"Week_"&amp;F470</f>
        <v>Week_67</v>
      </c>
    </row>
    <row r="471" spans="8:8" ht="15.1">
      <c r="A471" s="3">
        <v>44321.0</v>
      </c>
      <c r="B471" s="2">
        <v>769160.0</v>
      </c>
      <c r="C471" s="2">
        <v>11796.0</v>
      </c>
      <c r="D471" s="2">
        <f>_xlfn.IFERROR(B471-B470,0)</f>
        <v>1822.0</v>
      </c>
      <c r="E471" s="2">
        <f>_xlfn.IFERROR(C471-C470,0)</f>
        <v>41.0</v>
      </c>
      <c r="F471" s="1">
        <f>INT((A471-DATE(2020,1,22))/7)+1</f>
        <v>68.0</v>
      </c>
      <c r="G471" s="1" t="str">
        <f>"Week_"&amp;F471</f>
        <v>Week_68</v>
      </c>
    </row>
    <row r="472" spans="8:8" ht="15.1">
      <c r="A472" s="3">
        <v>44322.0</v>
      </c>
      <c r="B472" s="2">
        <v>770842.0</v>
      </c>
      <c r="C472" s="2">
        <v>11833.0</v>
      </c>
      <c r="D472" s="2">
        <f>_xlfn.IFERROR(B472-B471,0)</f>
        <v>1682.0</v>
      </c>
      <c r="E472" s="2">
        <f>_xlfn.IFERROR(C472-C471,0)</f>
        <v>37.0</v>
      </c>
      <c r="F472" s="1">
        <f>INT((A472-DATE(2020,1,22))/7)+1</f>
        <v>68.0</v>
      </c>
      <c r="G472" s="1" t="str">
        <f>"Week_"&amp;F472</f>
        <v>Week_68</v>
      </c>
    </row>
    <row r="473" spans="8:8" ht="15.1">
      <c r="A473" s="3">
        <v>44323.0</v>
      </c>
      <c r="B473" s="2">
        <v>772127.0</v>
      </c>
      <c r="C473" s="2">
        <v>11878.0</v>
      </c>
      <c r="D473" s="2">
        <f>_xlfn.IFERROR(B473-B472,0)</f>
        <v>1285.0</v>
      </c>
      <c r="E473" s="2">
        <f>_xlfn.IFERROR(C473-C472,0)</f>
        <v>45.0</v>
      </c>
      <c r="F473" s="1">
        <f>INT((A473-DATE(2020,1,22))/7)+1</f>
        <v>68.0</v>
      </c>
      <c r="G473" s="1" t="str">
        <f>"Week_"&amp;F473</f>
        <v>Week_68</v>
      </c>
    </row>
    <row r="474" spans="8:8" ht="15.1">
      <c r="A474" s="3">
        <v>44324.0</v>
      </c>
      <c r="B474" s="2">
        <v>773513.0</v>
      </c>
      <c r="C474" s="2">
        <v>11934.0</v>
      </c>
      <c r="D474" s="2">
        <f>_xlfn.IFERROR(B474-B473,0)</f>
        <v>1386.0</v>
      </c>
      <c r="E474" s="2">
        <f>_xlfn.IFERROR(C474-C473,0)</f>
        <v>56.0</v>
      </c>
      <c r="F474" s="1">
        <f>INT((A474-DATE(2020,1,22))/7)+1</f>
        <v>68.0</v>
      </c>
      <c r="G474" s="1" t="str">
        <f>"Week_"&amp;F474</f>
        <v>Week_68</v>
      </c>
    </row>
    <row r="475" spans="8:8" ht="15.1">
      <c r="A475" s="3">
        <v>44325.0</v>
      </c>
      <c r="B475" s="2">
        <v>775027.0</v>
      </c>
      <c r="C475" s="2">
        <v>11972.0</v>
      </c>
      <c r="D475" s="2">
        <f>_xlfn.IFERROR(B475-B474,0)</f>
        <v>1514.0</v>
      </c>
      <c r="E475" s="2">
        <f>_xlfn.IFERROR(C475-C474,0)</f>
        <v>38.0</v>
      </c>
      <c r="F475" s="1">
        <f>INT((A475-DATE(2020,1,22))/7)+1</f>
        <v>68.0</v>
      </c>
      <c r="G475" s="1" t="str">
        <f>"Week_"&amp;F475</f>
        <v>Week_68</v>
      </c>
    </row>
    <row r="476" spans="8:8" ht="15.1">
      <c r="A476" s="3">
        <v>44326.0</v>
      </c>
      <c r="B476" s="2">
        <v>776257.0</v>
      </c>
      <c r="C476" s="2">
        <v>12005.0</v>
      </c>
      <c r="D476" s="2">
        <f>_xlfn.IFERROR(B476-B475,0)</f>
        <v>1230.0</v>
      </c>
      <c r="E476" s="2">
        <f>_xlfn.IFERROR(C476-C475,0)</f>
        <v>33.0</v>
      </c>
      <c r="F476" s="1">
        <f>INT((A476-DATE(2020,1,22))/7)+1</f>
        <v>68.0</v>
      </c>
      <c r="G476" s="1" t="str">
        <f>"Week_"&amp;F476</f>
        <v>Week_68</v>
      </c>
    </row>
    <row r="477" spans="8:8" ht="15.1">
      <c r="A477" s="3">
        <v>44327.0</v>
      </c>
      <c r="B477" s="2">
        <v>777397.0</v>
      </c>
      <c r="C477" s="2">
        <v>12045.0</v>
      </c>
      <c r="D477" s="2">
        <f>_xlfn.IFERROR(B477-B476,0)</f>
        <v>1140.0</v>
      </c>
      <c r="E477" s="2">
        <f>_xlfn.IFERROR(C477-C476,0)</f>
        <v>40.0</v>
      </c>
      <c r="F477" s="1">
        <f>INT((A477-DATE(2020,1,22))/7)+1</f>
        <v>68.0</v>
      </c>
      <c r="G477" s="1" t="str">
        <f>"Week_"&amp;F477</f>
        <v>Week_68</v>
      </c>
    </row>
    <row r="478" spans="8:8" ht="15.1">
      <c r="A478" s="3">
        <v>44328.0</v>
      </c>
      <c r="B478" s="2">
        <v>778687.0</v>
      </c>
      <c r="C478" s="2">
        <v>12076.0</v>
      </c>
      <c r="D478" s="2">
        <f>_xlfn.IFERROR(B478-B477,0)</f>
        <v>1290.0</v>
      </c>
      <c r="E478" s="2">
        <f>_xlfn.IFERROR(C478-C477,0)</f>
        <v>31.0</v>
      </c>
      <c r="F478" s="1">
        <f>INT((A478-DATE(2020,1,22))/7)+1</f>
        <v>69.0</v>
      </c>
      <c r="G478" s="1" t="str">
        <f>"Week_"&amp;F478</f>
        <v>Week_69</v>
      </c>
    </row>
    <row r="479" spans="8:8" ht="15.1">
      <c r="A479" s="3">
        <v>44329.0</v>
      </c>
      <c r="B479" s="2">
        <v>779535.0</v>
      </c>
      <c r="C479" s="2">
        <v>12102.0</v>
      </c>
      <c r="D479" s="2">
        <f>_xlfn.IFERROR(B479-B478,0)</f>
        <v>848.0</v>
      </c>
      <c r="E479" s="2">
        <f>_xlfn.IFERROR(C479-C478,0)</f>
        <v>26.0</v>
      </c>
      <c r="F479" s="1">
        <f>INT((A479-DATE(2020,1,22))/7)+1</f>
        <v>69.0</v>
      </c>
      <c r="G479" s="1" t="str">
        <f>"Week_"&amp;F479</f>
        <v>Week_69</v>
      </c>
    </row>
    <row r="480" spans="8:8" ht="15.1">
      <c r="A480" s="3">
        <v>44330.0</v>
      </c>
      <c r="B480" s="2">
        <v>779796.0</v>
      </c>
      <c r="C480" s="2">
        <v>12124.0</v>
      </c>
      <c r="D480" s="2">
        <f>_xlfn.IFERROR(B480-B479,0)</f>
        <v>261.0</v>
      </c>
      <c r="E480" s="2">
        <f>_xlfn.IFERROR(C480-C479,0)</f>
        <v>22.0</v>
      </c>
      <c r="F480" s="1">
        <f>INT((A480-DATE(2020,1,22))/7)+1</f>
        <v>69.0</v>
      </c>
      <c r="G480" s="1" t="str">
        <f>"Week_"&amp;F480</f>
        <v>Week_69</v>
      </c>
    </row>
    <row r="481" spans="8:8" ht="15.1">
      <c r="A481" s="3">
        <v>44331.0</v>
      </c>
      <c r="B481" s="2">
        <v>780159.0</v>
      </c>
      <c r="C481" s="2">
        <v>12149.0</v>
      </c>
      <c r="D481" s="2">
        <f>_xlfn.IFERROR(B481-B480,0)</f>
        <v>363.0</v>
      </c>
      <c r="E481" s="2">
        <f>_xlfn.IFERROR(C481-C480,0)</f>
        <v>25.0</v>
      </c>
      <c r="F481" s="1">
        <f>INT((A481-DATE(2020,1,22))/7)+1</f>
        <v>69.0</v>
      </c>
      <c r="G481" s="1" t="str">
        <f>"Week_"&amp;F481</f>
        <v>Week_69</v>
      </c>
    </row>
    <row r="482" spans="8:8" ht="15.1">
      <c r="A482" s="3">
        <v>44332.0</v>
      </c>
      <c r="B482" s="2">
        <v>780857.0</v>
      </c>
      <c r="C482" s="2">
        <v>12181.0</v>
      </c>
      <c r="D482" s="2">
        <f>_xlfn.IFERROR(B482-B481,0)</f>
        <v>698.0</v>
      </c>
      <c r="E482" s="2">
        <f>_xlfn.IFERROR(C482-C481,0)</f>
        <v>32.0</v>
      </c>
      <c r="F482" s="1">
        <f>INT((A482-DATE(2020,1,22))/7)+1</f>
        <v>69.0</v>
      </c>
      <c r="G482" s="1" t="str">
        <f>"Week_"&amp;F482</f>
        <v>Week_69</v>
      </c>
    </row>
    <row r="483" spans="8:8" ht="15.1">
      <c r="A483" s="3">
        <v>44333.0</v>
      </c>
      <c r="B483" s="2">
        <v>782129.0</v>
      </c>
      <c r="C483" s="2">
        <v>12211.0</v>
      </c>
      <c r="D483" s="2">
        <f>_xlfn.IFERROR(B483-B482,0)</f>
        <v>1272.0</v>
      </c>
      <c r="E483" s="2">
        <f>_xlfn.IFERROR(C483-C482,0)</f>
        <v>30.0</v>
      </c>
      <c r="F483" s="1">
        <f>INT((A483-DATE(2020,1,22))/7)+1</f>
        <v>69.0</v>
      </c>
      <c r="G483" s="1" t="str">
        <f>"Week_"&amp;F483</f>
        <v>Week_69</v>
      </c>
    </row>
    <row r="484" spans="8:8" ht="15.1">
      <c r="A484" s="3">
        <v>44334.0</v>
      </c>
      <c r="B484" s="2">
        <v>783737.0</v>
      </c>
      <c r="C484" s="2">
        <v>12248.0</v>
      </c>
      <c r="D484" s="2">
        <f>_xlfn.IFERROR(B484-B483,0)</f>
        <v>1608.0</v>
      </c>
      <c r="E484" s="2">
        <f>_xlfn.IFERROR(C484-C483,0)</f>
        <v>37.0</v>
      </c>
      <c r="F484" s="1">
        <f>INT((A484-DATE(2020,1,22))/7)+1</f>
        <v>69.0</v>
      </c>
      <c r="G484" s="1" t="str">
        <f>"Week_"&amp;F484</f>
        <v>Week_69</v>
      </c>
    </row>
    <row r="485" spans="8:8" ht="15.1">
      <c r="A485" s="3">
        <v>44335.0</v>
      </c>
      <c r="B485" s="2">
        <v>785194.0</v>
      </c>
      <c r="C485" s="2">
        <v>12284.0</v>
      </c>
      <c r="D485" s="2">
        <f>_xlfn.IFERROR(B485-B484,0)</f>
        <v>1457.0</v>
      </c>
      <c r="E485" s="2">
        <f>_xlfn.IFERROR(C485-C484,0)</f>
        <v>36.0</v>
      </c>
      <c r="F485" s="1">
        <f>INT((A485-DATE(2020,1,22))/7)+1</f>
        <v>70.0</v>
      </c>
      <c r="G485" s="1" t="str">
        <f>"Week_"&amp;F485</f>
        <v>Week_70</v>
      </c>
    </row>
    <row r="486" spans="8:8" ht="15.1">
      <c r="A486" s="3">
        <v>44336.0</v>
      </c>
      <c r="B486" s="2">
        <v>786698.0</v>
      </c>
      <c r="C486" s="2">
        <v>12310.0</v>
      </c>
      <c r="D486" s="2">
        <f>_xlfn.IFERROR(B486-B485,0)</f>
        <v>1504.0</v>
      </c>
      <c r="E486" s="2">
        <f>_xlfn.IFERROR(C486-C485,0)</f>
        <v>26.0</v>
      </c>
      <c r="F486" s="1">
        <f>INT((A486-DATE(2020,1,22))/7)+1</f>
        <v>70.0</v>
      </c>
      <c r="G486" s="1" t="str">
        <f>"Week_"&amp;F486</f>
        <v>Week_70</v>
      </c>
    </row>
    <row r="487" spans="8:8" ht="15.1">
      <c r="A487" s="3">
        <v>44337.0</v>
      </c>
      <c r="B487" s="2">
        <v>787726.0</v>
      </c>
      <c r="C487" s="2">
        <v>12348.0</v>
      </c>
      <c r="D487" s="2">
        <f>_xlfn.IFERROR(B487-B486,0)</f>
        <v>1028.0</v>
      </c>
      <c r="E487" s="2">
        <f>_xlfn.IFERROR(C487-C486,0)</f>
        <v>38.0</v>
      </c>
      <c r="F487" s="1">
        <f>INT((A487-DATE(2020,1,22))/7)+1</f>
        <v>70.0</v>
      </c>
      <c r="G487" s="1" t="str">
        <f>"Week_"&amp;F487</f>
        <v>Week_70</v>
      </c>
    </row>
    <row r="488" spans="8:8" ht="15.1">
      <c r="A488" s="3">
        <v>44338.0</v>
      </c>
      <c r="B488" s="2">
        <v>789080.0</v>
      </c>
      <c r="C488" s="2">
        <v>12376.0</v>
      </c>
      <c r="D488" s="2">
        <f>_xlfn.IFERROR(B488-B487,0)</f>
        <v>1354.0</v>
      </c>
      <c r="E488" s="2">
        <f>_xlfn.IFERROR(C488-C487,0)</f>
        <v>28.0</v>
      </c>
      <c r="F488" s="1">
        <f>INT((A488-DATE(2020,1,22))/7)+1</f>
        <v>70.0</v>
      </c>
      <c r="G488" s="1" t="str">
        <f>"Week_"&amp;F488</f>
        <v>Week_70</v>
      </c>
    </row>
    <row r="489" spans="8:8" ht="15.1">
      <c r="A489" s="3">
        <v>44339.0</v>
      </c>
      <c r="B489" s="2">
        <v>790521.0</v>
      </c>
      <c r="C489" s="2">
        <v>12401.0</v>
      </c>
      <c r="D489" s="2">
        <f>_xlfn.IFERROR(B489-B488,0)</f>
        <v>1441.0</v>
      </c>
      <c r="E489" s="2">
        <f>_xlfn.IFERROR(C489-C488,0)</f>
        <v>25.0</v>
      </c>
      <c r="F489" s="1">
        <f>INT((A489-DATE(2020,1,22))/7)+1</f>
        <v>70.0</v>
      </c>
      <c r="G489" s="1" t="str">
        <f>"Week_"&amp;F489</f>
        <v>Week_70</v>
      </c>
    </row>
    <row r="490" spans="8:8" ht="15.1">
      <c r="A490" s="3">
        <v>44340.0</v>
      </c>
      <c r="B490" s="2">
        <v>792196.0</v>
      </c>
      <c r="C490" s="2">
        <v>12441.0</v>
      </c>
      <c r="D490" s="2">
        <f>_xlfn.IFERROR(B490-B489,0)</f>
        <v>1675.0</v>
      </c>
      <c r="E490" s="2">
        <f>_xlfn.IFERROR(C490-C489,0)</f>
        <v>40.0</v>
      </c>
      <c r="F490" s="1">
        <f>INT((A490-DATE(2020,1,22))/7)+1</f>
        <v>70.0</v>
      </c>
      <c r="G490" s="1" t="str">
        <f>"Week_"&amp;F490</f>
        <v>Week_70</v>
      </c>
    </row>
    <row r="491" spans="8:8" ht="15.1">
      <c r="A491" s="3">
        <v>44341.0</v>
      </c>
      <c r="B491" s="2">
        <v>793693.0</v>
      </c>
      <c r="C491" s="2">
        <v>12458.0</v>
      </c>
      <c r="D491" s="2">
        <f>_xlfn.IFERROR(B491-B490,0)</f>
        <v>1497.0</v>
      </c>
      <c r="E491" s="2">
        <f>_xlfn.IFERROR(C491-C490,0)</f>
        <v>17.0</v>
      </c>
      <c r="F491" s="1">
        <f>INT((A491-DATE(2020,1,22))/7)+1</f>
        <v>70.0</v>
      </c>
      <c r="G491" s="1" t="str">
        <f>"Week_"&amp;F491</f>
        <v>Week_70</v>
      </c>
    </row>
    <row r="492" spans="8:8" ht="15.1">
      <c r="A492" s="3">
        <v>44342.0</v>
      </c>
      <c r="B492" s="2">
        <v>794985.0</v>
      </c>
      <c r="C492" s="2">
        <v>12480.0</v>
      </c>
      <c r="D492" s="2">
        <f>_xlfn.IFERROR(B492-B491,0)</f>
        <v>1292.0</v>
      </c>
      <c r="E492" s="2">
        <f>_xlfn.IFERROR(C492-C491,0)</f>
        <v>22.0</v>
      </c>
      <c r="F492" s="1">
        <f>INT((A492-DATE(2020,1,22))/7)+1</f>
        <v>71.0</v>
      </c>
      <c r="G492" s="1" t="str">
        <f>"Week_"&amp;F492</f>
        <v>Week_71</v>
      </c>
    </row>
    <row r="493" spans="8:8" ht="15.1">
      <c r="A493" s="3">
        <v>44343.0</v>
      </c>
      <c r="B493" s="2">
        <v>796343.0</v>
      </c>
      <c r="C493" s="2">
        <v>12511.0</v>
      </c>
      <c r="D493" s="2">
        <f>_xlfn.IFERROR(B493-B492,0)</f>
        <v>1358.0</v>
      </c>
      <c r="E493" s="2">
        <f>_xlfn.IFERROR(C493-C492,0)</f>
        <v>31.0</v>
      </c>
      <c r="F493" s="1">
        <f>INT((A493-DATE(2020,1,22))/7)+1</f>
        <v>71.0</v>
      </c>
      <c r="G493" s="1" t="str">
        <f>"Week_"&amp;F493</f>
        <v>Week_71</v>
      </c>
    </row>
    <row r="494" spans="8:8" ht="15.1">
      <c r="A494" s="3">
        <v>44344.0</v>
      </c>
      <c r="B494" s="2">
        <v>797386.0</v>
      </c>
      <c r="C494" s="2">
        <v>12549.0</v>
      </c>
      <c r="D494" s="2">
        <f>_xlfn.IFERROR(B494-B493,0)</f>
        <v>1043.0</v>
      </c>
      <c r="E494" s="2">
        <f>_xlfn.IFERROR(C494-C493,0)</f>
        <v>38.0</v>
      </c>
      <c r="F494" s="1">
        <f>INT((A494-DATE(2020,1,22))/7)+1</f>
        <v>71.0</v>
      </c>
      <c r="G494" s="1" t="str">
        <f>"Week_"&amp;F494</f>
        <v>Week_71</v>
      </c>
    </row>
    <row r="495" spans="8:8" ht="15.1">
      <c r="A495" s="3">
        <v>44345.0</v>
      </c>
      <c r="B495" s="2">
        <v>798830.0</v>
      </c>
      <c r="C495" s="2">
        <v>12583.0</v>
      </c>
      <c r="D495" s="2">
        <f>_xlfn.IFERROR(B495-B494,0)</f>
        <v>1444.0</v>
      </c>
      <c r="E495" s="2">
        <f>_xlfn.IFERROR(C495-C494,0)</f>
        <v>34.0</v>
      </c>
      <c r="F495" s="1">
        <f>INT((A495-DATE(2020,1,22))/7)+1</f>
        <v>71.0</v>
      </c>
      <c r="G495" s="1" t="str">
        <f>"Week_"&amp;F495</f>
        <v>Week_71</v>
      </c>
    </row>
    <row r="496" spans="8:8" ht="15.1">
      <c r="A496" s="3">
        <v>44346.0</v>
      </c>
      <c r="B496" s="2">
        <v>800540.0</v>
      </c>
      <c r="C496" s="2">
        <v>12619.0</v>
      </c>
      <c r="D496" s="2">
        <f>_xlfn.IFERROR(B496-B495,0)</f>
        <v>1710.0</v>
      </c>
      <c r="E496" s="2">
        <f>_xlfn.IFERROR(C496-C495,0)</f>
        <v>36.0</v>
      </c>
      <c r="F496" s="1">
        <f>INT((A496-DATE(2020,1,22))/7)+1</f>
        <v>71.0</v>
      </c>
      <c r="G496" s="1" t="str">
        <f>"Week_"&amp;F496</f>
        <v>Week_71</v>
      </c>
    </row>
    <row r="497" spans="8:8" ht="15.1">
      <c r="A497" s="3">
        <v>44347.0</v>
      </c>
      <c r="B497" s="2">
        <v>802305.0</v>
      </c>
      <c r="C497" s="2">
        <v>12660.0</v>
      </c>
      <c r="D497" s="2">
        <f>_xlfn.IFERROR(B497-B496,0)</f>
        <v>1765.0</v>
      </c>
      <c r="E497" s="2">
        <f>_xlfn.IFERROR(C497-C496,0)</f>
        <v>41.0</v>
      </c>
      <c r="F497" s="1">
        <f>INT((A497-DATE(2020,1,22))/7)+1</f>
        <v>71.0</v>
      </c>
      <c r="G497" s="1" t="str">
        <f>"Week_"&amp;F497</f>
        <v>Week_71</v>
      </c>
    </row>
    <row r="498" spans="8:8" ht="15.1">
      <c r="A498" s="3">
        <v>44348.0</v>
      </c>
      <c r="B498" s="2">
        <v>804293.0</v>
      </c>
      <c r="C498" s="2">
        <v>12694.0</v>
      </c>
      <c r="D498" s="2">
        <f>_xlfn.IFERROR(B498-B497,0)</f>
        <v>1988.0</v>
      </c>
      <c r="E498" s="2">
        <f>_xlfn.IFERROR(C498-C497,0)</f>
        <v>34.0</v>
      </c>
      <c r="F498" s="1">
        <f>INT((A498-DATE(2020,1,22))/7)+1</f>
        <v>71.0</v>
      </c>
      <c r="G498" s="1" t="str">
        <f>"Week_"&amp;F498</f>
        <v>Week_71</v>
      </c>
    </row>
    <row r="499" spans="8:8" ht="15.1">
      <c r="A499" s="3">
        <v>44349.0</v>
      </c>
      <c r="B499" s="2">
        <v>805980.0</v>
      </c>
      <c r="C499" s="2">
        <v>12724.0</v>
      </c>
      <c r="D499" s="2">
        <f>_xlfn.IFERROR(B499-B498,0)</f>
        <v>1687.0</v>
      </c>
      <c r="E499" s="2">
        <f>_xlfn.IFERROR(C499-C498,0)</f>
        <v>30.0</v>
      </c>
      <c r="F499" s="1">
        <f>INT((A499-DATE(2020,1,22))/7)+1</f>
        <v>72.0</v>
      </c>
      <c r="G499" s="1" t="str">
        <f>"Week_"&amp;F499</f>
        <v>Week_72</v>
      </c>
    </row>
    <row r="500" spans="8:8" ht="15.1">
      <c r="A500" s="3">
        <v>44350.0</v>
      </c>
      <c r="B500" s="2">
        <v>807867.0</v>
      </c>
      <c r="C500" s="2">
        <v>12758.0</v>
      </c>
      <c r="D500" s="2">
        <f>_xlfn.IFERROR(B500-B499,0)</f>
        <v>1887.0</v>
      </c>
      <c r="E500" s="2">
        <f>_xlfn.IFERROR(C500-C499,0)</f>
        <v>34.0</v>
      </c>
      <c r="F500" s="1">
        <f>INT((A500-DATE(2020,1,22))/7)+1</f>
        <v>72.0</v>
      </c>
      <c r="G500" s="1" t="str">
        <f>"Week_"&amp;F500</f>
        <v>Week_72</v>
      </c>
    </row>
    <row r="501" spans="8:8" ht="15.1">
      <c r="A501" s="3">
        <v>44351.0</v>
      </c>
      <c r="B501" s="2">
        <v>809314.0</v>
      </c>
      <c r="C501" s="2">
        <v>12801.0</v>
      </c>
      <c r="D501" s="2">
        <f>_xlfn.IFERROR(B501-B500,0)</f>
        <v>1447.0</v>
      </c>
      <c r="E501" s="2">
        <f>_xlfn.IFERROR(C501-C500,0)</f>
        <v>43.0</v>
      </c>
      <c r="F501" s="1">
        <f>INT((A501-DATE(2020,1,22))/7)+1</f>
        <v>72.0</v>
      </c>
      <c r="G501" s="1" t="str">
        <f>"Week_"&amp;F501</f>
        <v>Week_72</v>
      </c>
    </row>
    <row r="502" spans="8:8" ht="15.1">
      <c r="A502" s="3">
        <v>44352.0</v>
      </c>
      <c r="B502" s="2">
        <v>810990.0</v>
      </c>
      <c r="C502" s="2">
        <v>12839.0</v>
      </c>
      <c r="D502" s="2">
        <f>_xlfn.IFERROR(B502-B501,0)</f>
        <v>1676.0</v>
      </c>
      <c r="E502" s="2">
        <f>_xlfn.IFERROR(C502-C501,0)</f>
        <v>38.0</v>
      </c>
      <c r="F502" s="1">
        <f>INT((A502-DATE(2020,1,22))/7)+1</f>
        <v>72.0</v>
      </c>
      <c r="G502" s="1" t="str">
        <f>"Week_"&amp;F502</f>
        <v>Week_72</v>
      </c>
    </row>
    <row r="503" spans="8:8" ht="15.1">
      <c r="A503" s="3">
        <v>44353.0</v>
      </c>
      <c r="B503" s="2">
        <v>812960.0</v>
      </c>
      <c r="C503" s="2">
        <v>12869.0</v>
      </c>
      <c r="D503" s="2">
        <f>_xlfn.IFERROR(B503-B502,0)</f>
        <v>1970.0</v>
      </c>
      <c r="E503" s="2">
        <f>_xlfn.IFERROR(C503-C502,0)</f>
        <v>30.0</v>
      </c>
      <c r="F503" s="1">
        <f>INT((A503-DATE(2020,1,22))/7)+1</f>
        <v>72.0</v>
      </c>
      <c r="G503" s="1" t="str">
        <f>"Week_"&amp;F503</f>
        <v>Week_72</v>
      </c>
    </row>
    <row r="504" spans="8:8" ht="15.1">
      <c r="A504" s="3">
        <v>44354.0</v>
      </c>
      <c r="B504" s="2">
        <v>815282.0</v>
      </c>
      <c r="C504" s="2">
        <v>12913.0</v>
      </c>
      <c r="D504" s="2">
        <f>_xlfn.IFERROR(B504-B503,0)</f>
        <v>2322.0</v>
      </c>
      <c r="E504" s="2">
        <f>_xlfn.IFERROR(C504-C503,0)</f>
        <v>44.0</v>
      </c>
      <c r="F504" s="1">
        <f>INT((A504-DATE(2020,1,22))/7)+1</f>
        <v>72.0</v>
      </c>
      <c r="G504" s="1" t="str">
        <f>"Week_"&amp;F504</f>
        <v>Week_72</v>
      </c>
    </row>
    <row r="505" spans="8:8" ht="15.1">
      <c r="A505" s="3">
        <v>44355.0</v>
      </c>
      <c r="B505" s="2">
        <v>817819.0</v>
      </c>
      <c r="C505" s="2">
        <v>12949.0</v>
      </c>
      <c r="D505" s="2">
        <f>_xlfn.IFERROR(B505-B504,0)</f>
        <v>2537.0</v>
      </c>
      <c r="E505" s="2">
        <f>_xlfn.IFERROR(C505-C504,0)</f>
        <v>36.0</v>
      </c>
      <c r="F505" s="1">
        <f>INT((A505-DATE(2020,1,22))/7)+1</f>
        <v>72.0</v>
      </c>
      <c r="G505" s="1" t="str">
        <f>"Week_"&amp;F505</f>
        <v>Week_72</v>
      </c>
    </row>
    <row r="506" spans="8:8" ht="15.1">
      <c r="A506" s="3">
        <v>44356.0</v>
      </c>
      <c r="B506" s="2">
        <v>820395.0</v>
      </c>
      <c r="C506" s="2">
        <v>12989.0</v>
      </c>
      <c r="D506" s="2">
        <f>_xlfn.IFERROR(B506-B505,0)</f>
        <v>2576.0</v>
      </c>
      <c r="E506" s="2">
        <f>_xlfn.IFERROR(C506-C505,0)</f>
        <v>40.0</v>
      </c>
      <c r="F506" s="1">
        <f>INT((A506-DATE(2020,1,22))/7)+1</f>
        <v>73.0</v>
      </c>
      <c r="G506" s="1" t="str">
        <f>"Week_"&amp;F506</f>
        <v>Week_73</v>
      </c>
    </row>
    <row r="507" spans="8:8" ht="15.1">
      <c r="A507" s="3">
        <v>44357.0</v>
      </c>
      <c r="B507" s="2">
        <v>822849.0</v>
      </c>
      <c r="C507" s="2">
        <v>13032.0</v>
      </c>
      <c r="D507" s="2">
        <f>_xlfn.IFERROR(B507-B506,0)</f>
        <v>2454.0</v>
      </c>
      <c r="E507" s="2">
        <f>_xlfn.IFERROR(C507-C506,0)</f>
        <v>43.0</v>
      </c>
      <c r="F507" s="1">
        <f>INT((A507-DATE(2020,1,22))/7)+1</f>
        <v>73.0</v>
      </c>
      <c r="G507" s="1" t="str">
        <f>"Week_"&amp;F507</f>
        <v>Week_73</v>
      </c>
    </row>
    <row r="508" spans="8:8" ht="15.1">
      <c r="A508" s="3">
        <v>44358.0</v>
      </c>
      <c r="B508" s="2">
        <v>824486.0</v>
      </c>
      <c r="C508" s="2">
        <v>13071.0</v>
      </c>
      <c r="D508" s="2">
        <f>_xlfn.IFERROR(B508-B507,0)</f>
        <v>1637.0</v>
      </c>
      <c r="E508" s="2">
        <f>_xlfn.IFERROR(C508-C507,0)</f>
        <v>39.0</v>
      </c>
      <c r="F508" s="1">
        <f>INT((A508-DATE(2020,1,22))/7)+1</f>
        <v>73.0</v>
      </c>
      <c r="G508" s="1" t="str">
        <f>"Week_"&amp;F508</f>
        <v>Week_73</v>
      </c>
    </row>
    <row r="509" spans="8:8" ht="15.1">
      <c r="A509" s="3">
        <v>44359.0</v>
      </c>
      <c r="B509" s="2">
        <v>826922.0</v>
      </c>
      <c r="C509" s="2">
        <v>13118.0</v>
      </c>
      <c r="D509" s="2">
        <f>_xlfn.IFERROR(B509-B508,0)</f>
        <v>2436.0</v>
      </c>
      <c r="E509" s="2">
        <f>_xlfn.IFERROR(C509-C508,0)</f>
        <v>47.0</v>
      </c>
      <c r="F509" s="1">
        <f>INT((A509-DATE(2020,1,22))/7)+1</f>
        <v>73.0</v>
      </c>
      <c r="G509" s="1" t="str">
        <f>"Week_"&amp;F509</f>
        <v>Week_73</v>
      </c>
    </row>
    <row r="510" spans="8:8" ht="15.1">
      <c r="A510" s="3">
        <v>44360.0</v>
      </c>
      <c r="B510" s="2">
        <v>829972.0</v>
      </c>
      <c r="C510" s="2">
        <v>13172.0</v>
      </c>
      <c r="D510" s="2">
        <f>_xlfn.IFERROR(B510-B509,0)</f>
        <v>3050.0</v>
      </c>
      <c r="E510" s="2">
        <f>_xlfn.IFERROR(C510-C509,0)</f>
        <v>54.0</v>
      </c>
      <c r="F510" s="1">
        <f>INT((A510-DATE(2020,1,22))/7)+1</f>
        <v>73.0</v>
      </c>
      <c r="G510" s="1" t="str">
        <f>"Week_"&amp;F510</f>
        <v>Week_73</v>
      </c>
    </row>
    <row r="511" spans="8:8" ht="15.1">
      <c r="A511" s="3">
        <v>44361.0</v>
      </c>
      <c r="B511" s="2">
        <v>833291.0</v>
      </c>
      <c r="C511" s="2">
        <v>13222.0</v>
      </c>
      <c r="D511" s="2">
        <f>_xlfn.IFERROR(B511-B510,0)</f>
        <v>3319.0</v>
      </c>
      <c r="E511" s="2">
        <f>_xlfn.IFERROR(C511-C510,0)</f>
        <v>50.0</v>
      </c>
      <c r="F511" s="1">
        <f>INT((A511-DATE(2020,1,22))/7)+1</f>
        <v>73.0</v>
      </c>
      <c r="G511" s="1" t="str">
        <f>"Week_"&amp;F511</f>
        <v>Week_73</v>
      </c>
    </row>
    <row r="512" spans="8:8" ht="15.1">
      <c r="A512" s="3">
        <v>44362.0</v>
      </c>
      <c r="B512" s="2">
        <v>837247.0</v>
      </c>
      <c r="C512" s="2">
        <v>13282.0</v>
      </c>
      <c r="D512" s="2">
        <f>_xlfn.IFERROR(B512-B511,0)</f>
        <v>3956.0</v>
      </c>
      <c r="E512" s="2">
        <f>_xlfn.IFERROR(C512-C511,0)</f>
        <v>60.0</v>
      </c>
      <c r="F512" s="1">
        <f>INT((A512-DATE(2020,1,22))/7)+1</f>
        <v>73.0</v>
      </c>
      <c r="G512" s="1" t="str">
        <f>"Week_"&amp;F512</f>
        <v>Week_73</v>
      </c>
    </row>
    <row r="513" spans="8:8" ht="15.1">
      <c r="A513" s="3">
        <v>44363.0</v>
      </c>
      <c r="B513" s="2">
        <v>841087.0</v>
      </c>
      <c r="C513" s="2">
        <v>13345.0</v>
      </c>
      <c r="D513" s="2">
        <f>_xlfn.IFERROR(B513-B512,0)</f>
        <v>3840.0</v>
      </c>
      <c r="E513" s="2">
        <f>_xlfn.IFERROR(C513-C512,0)</f>
        <v>63.0</v>
      </c>
      <c r="F513" s="1">
        <f>INT((A513-DATE(2020,1,22))/7)+1</f>
        <v>74.0</v>
      </c>
      <c r="G513" s="1" t="str">
        <f>"Week_"&amp;F513</f>
        <v>Week_74</v>
      </c>
    </row>
    <row r="514" spans="8:8" ht="15.1">
      <c r="A514" s="3">
        <v>44364.0</v>
      </c>
      <c r="B514" s="2">
        <v>844970.0</v>
      </c>
      <c r="C514" s="2">
        <v>13399.0</v>
      </c>
      <c r="D514" s="2">
        <f>_xlfn.IFERROR(B514-B513,0)</f>
        <v>3883.0</v>
      </c>
      <c r="E514" s="2">
        <f>_xlfn.IFERROR(C514-C513,0)</f>
        <v>54.0</v>
      </c>
      <c r="F514" s="1">
        <f>INT((A514-DATE(2020,1,22))/7)+1</f>
        <v>74.0</v>
      </c>
      <c r="G514" s="1" t="str">
        <f>"Week_"&amp;F514</f>
        <v>Week_74</v>
      </c>
    </row>
    <row r="515" spans="8:8" ht="15.1">
      <c r="A515" s="3">
        <v>44365.0</v>
      </c>
      <c r="B515" s="2">
        <v>848027.0</v>
      </c>
      <c r="C515" s="2">
        <v>13466.0</v>
      </c>
      <c r="D515" s="2">
        <f>_xlfn.IFERROR(B515-B514,0)</f>
        <v>3057.0</v>
      </c>
      <c r="E515" s="2">
        <f>_xlfn.IFERROR(C515-C514,0)</f>
        <v>67.0</v>
      </c>
      <c r="F515" s="1">
        <f>INT((A515-DATE(2020,1,22))/7)+1</f>
        <v>74.0</v>
      </c>
      <c r="G515" s="1" t="str">
        <f>"Week_"&amp;F515</f>
        <v>Week_74</v>
      </c>
    </row>
    <row r="516" spans="8:8" ht="15.1">
      <c r="A516" s="3">
        <v>44366.0</v>
      </c>
      <c r="B516" s="2">
        <v>851668.0</v>
      </c>
      <c r="C516" s="2">
        <v>13548.0</v>
      </c>
      <c r="D516" s="2">
        <f>_xlfn.IFERROR(B516-B515,0)</f>
        <v>3641.0</v>
      </c>
      <c r="E516" s="2">
        <f>_xlfn.IFERROR(C516-C515,0)</f>
        <v>82.0</v>
      </c>
      <c r="F516" s="1">
        <f>INT((A516-DATE(2020,1,22))/7)+1</f>
        <v>74.0</v>
      </c>
      <c r="G516" s="1" t="str">
        <f>"Week_"&amp;F516</f>
        <v>Week_74</v>
      </c>
    </row>
    <row r="517" spans="8:8" ht="15.1">
      <c r="A517" s="3">
        <v>44367.0</v>
      </c>
      <c r="B517" s="2">
        <v>856304.0</v>
      </c>
      <c r="C517" s="2">
        <v>13626.0</v>
      </c>
      <c r="D517" s="2">
        <f>_xlfn.IFERROR(B517-B516,0)</f>
        <v>4636.0</v>
      </c>
      <c r="E517" s="2">
        <f>_xlfn.IFERROR(C517-C516,0)</f>
        <v>78.0</v>
      </c>
      <c r="F517" s="1">
        <f>INT((A517-DATE(2020,1,22))/7)+1</f>
        <v>74.0</v>
      </c>
      <c r="G517" s="1" t="str">
        <f>"Week_"&amp;F517</f>
        <v>Week_74</v>
      </c>
    </row>
    <row r="518" spans="8:8" ht="15.1">
      <c r="A518" s="3">
        <v>44368.0</v>
      </c>
      <c r="B518" s="2">
        <v>861150.0</v>
      </c>
      <c r="C518" s="2">
        <v>13702.0</v>
      </c>
      <c r="D518" s="2">
        <f>_xlfn.IFERROR(B518-B517,0)</f>
        <v>4846.0</v>
      </c>
      <c r="E518" s="2">
        <f>_xlfn.IFERROR(C518-C517,0)</f>
        <v>76.0</v>
      </c>
      <c r="F518" s="1">
        <f>INT((A518-DATE(2020,1,22))/7)+1</f>
        <v>74.0</v>
      </c>
      <c r="G518" s="1" t="str">
        <f>"Week_"&amp;F518</f>
        <v>Week_74</v>
      </c>
    </row>
    <row r="519" spans="8:8" ht="15.1">
      <c r="A519" s="3">
        <v>44369.0</v>
      </c>
      <c r="B519" s="2">
        <v>866877.0</v>
      </c>
      <c r="C519" s="2">
        <v>13787.0</v>
      </c>
      <c r="D519" s="2">
        <f>_xlfn.IFERROR(B519-B518,0)</f>
        <v>5727.0</v>
      </c>
      <c r="E519" s="2">
        <f>_xlfn.IFERROR(C519-C518,0)</f>
        <v>85.0</v>
      </c>
      <c r="F519" s="1">
        <f>INT((A519-DATE(2020,1,22))/7)+1</f>
        <v>74.0</v>
      </c>
      <c r="G519" s="1" t="str">
        <f>"Week_"&amp;F519</f>
        <v>Week_74</v>
      </c>
    </row>
    <row r="520" spans="8:8" ht="15.1">
      <c r="A520" s="3">
        <v>44370.0</v>
      </c>
      <c r="B520" s="2">
        <v>872935.0</v>
      </c>
      <c r="C520" s="2">
        <v>13868.0</v>
      </c>
      <c r="D520" s="2">
        <f>_xlfn.IFERROR(B520-B519,0)</f>
        <v>6058.0</v>
      </c>
      <c r="E520" s="2">
        <f>_xlfn.IFERROR(C520-C519,0)</f>
        <v>81.0</v>
      </c>
      <c r="F520" s="1">
        <f>INT((A520-DATE(2020,1,22))/7)+1</f>
        <v>75.0</v>
      </c>
      <c r="G520" s="1" t="str">
        <f>"Week_"&amp;F520</f>
        <v>Week_75</v>
      </c>
    </row>
    <row r="521" spans="8:8" ht="15.1">
      <c r="A521" s="3">
        <v>44371.0</v>
      </c>
      <c r="B521" s="2">
        <v>878804.0</v>
      </c>
      <c r="C521" s="2">
        <v>13976.0</v>
      </c>
      <c r="D521" s="2">
        <f>_xlfn.IFERROR(B521-B520,0)</f>
        <v>5869.0</v>
      </c>
      <c r="E521" s="2">
        <f>_xlfn.IFERROR(C521-C520,0)</f>
        <v>108.0</v>
      </c>
      <c r="F521" s="1">
        <f>INT((A521-DATE(2020,1,22))/7)+1</f>
        <v>75.0</v>
      </c>
      <c r="G521" s="1" t="str">
        <f>"Week_"&amp;F521</f>
        <v>Week_75</v>
      </c>
    </row>
    <row r="522" spans="8:8" ht="15.1">
      <c r="A522" s="3">
        <v>44372.0</v>
      </c>
      <c r="B522" s="2">
        <v>883138.0</v>
      </c>
      <c r="C522" s="2">
        <v>14053.0</v>
      </c>
      <c r="D522" s="2">
        <f>_xlfn.IFERROR(B522-B521,0)</f>
        <v>4334.0</v>
      </c>
      <c r="E522" s="2">
        <f>_xlfn.IFERROR(C522-C521,0)</f>
        <v>77.0</v>
      </c>
      <c r="F522" s="1">
        <f>INT((A522-DATE(2020,1,22))/7)+1</f>
        <v>75.0</v>
      </c>
      <c r="G522" s="1" t="str">
        <f>"Week_"&amp;F522</f>
        <v>Week_75</v>
      </c>
    </row>
    <row r="523" spans="8:8" ht="15.1">
      <c r="A523" s="3">
        <v>44373.0</v>
      </c>
      <c r="B523" s="2">
        <v>888406.0</v>
      </c>
      <c r="C523" s="2">
        <v>14172.0</v>
      </c>
      <c r="D523" s="2">
        <f>_xlfn.IFERROR(B523-B522,0)</f>
        <v>5268.0</v>
      </c>
      <c r="E523" s="2">
        <f>_xlfn.IFERROR(C523-C522,0)</f>
        <v>119.0</v>
      </c>
      <c r="F523" s="1">
        <f>INT((A523-DATE(2020,1,22))/7)+1</f>
        <v>75.0</v>
      </c>
      <c r="G523" s="1" t="str">
        <f>"Week_"&amp;F523</f>
        <v>Week_75</v>
      </c>
    </row>
    <row r="524" spans="8:8" ht="15.1">
      <c r="A524" s="3">
        <v>44374.0</v>
      </c>
      <c r="B524" s="2">
        <v>896770.0</v>
      </c>
      <c r="C524" s="2">
        <v>14276.0</v>
      </c>
      <c r="D524" s="2">
        <f>_xlfn.IFERROR(B524-B523,0)</f>
        <v>8364.0</v>
      </c>
      <c r="E524" s="2">
        <f>_xlfn.IFERROR(C524-C523,0)</f>
        <v>104.0</v>
      </c>
      <c r="F524" s="1">
        <f>INT((A524-DATE(2020,1,22))/7)+1</f>
        <v>75.0</v>
      </c>
      <c r="G524" s="1" t="str">
        <f>"Week_"&amp;F524</f>
        <v>Week_75</v>
      </c>
    </row>
    <row r="525" spans="8:8" ht="15.1">
      <c r="A525" s="3">
        <v>44375.0</v>
      </c>
      <c r="B525" s="2">
        <v>904436.0</v>
      </c>
      <c r="C525" s="2">
        <v>14388.0</v>
      </c>
      <c r="D525" s="2">
        <f>_xlfn.IFERROR(B525-B524,0)</f>
        <v>7666.0</v>
      </c>
      <c r="E525" s="2">
        <f>_xlfn.IFERROR(C525-C524,0)</f>
        <v>112.0</v>
      </c>
      <c r="F525" s="1">
        <f>INT((A525-DATE(2020,1,22))/7)+1</f>
        <v>75.0</v>
      </c>
      <c r="G525" s="1" t="str">
        <f>"Week_"&amp;F525</f>
        <v>Week_75</v>
      </c>
    </row>
    <row r="526" spans="8:8" ht="15.1">
      <c r="A526" s="3">
        <v>44376.0</v>
      </c>
      <c r="B526" s="2">
        <v>913258.0</v>
      </c>
      <c r="C526" s="2">
        <v>14503.0</v>
      </c>
      <c r="D526" s="2">
        <f>_xlfn.IFERROR(B526-B525,0)</f>
        <v>8822.0</v>
      </c>
      <c r="E526" s="2">
        <f>_xlfn.IFERROR(C526-C525,0)</f>
        <v>115.0</v>
      </c>
      <c r="F526" s="1">
        <f>INT((A526-DATE(2020,1,22))/7)+1</f>
        <v>75.0</v>
      </c>
      <c r="G526" s="1" t="str">
        <f>"Week_"&amp;F526</f>
        <v>Week_75</v>
      </c>
    </row>
    <row r="527" spans="8:8" ht="15.1">
      <c r="A527" s="3">
        <v>44377.0</v>
      </c>
      <c r="B527" s="2">
        <v>921559.0</v>
      </c>
      <c r="C527" s="2">
        <v>14646.0</v>
      </c>
      <c r="D527" s="2">
        <f>_xlfn.IFERROR(B527-B526,0)</f>
        <v>8301.0</v>
      </c>
      <c r="E527" s="2">
        <f>_xlfn.IFERROR(C527-C526,0)</f>
        <v>143.0</v>
      </c>
      <c r="F527" s="1">
        <f>INT((A527-DATE(2020,1,22))/7)+1</f>
        <v>76.0</v>
      </c>
      <c r="G527" s="1" t="str">
        <f>"Week_"&amp;F527</f>
        <v>Week_76</v>
      </c>
    </row>
    <row r="528" spans="8:8" ht="15.1">
      <c r="A528" s="3">
        <v>44378.0</v>
      </c>
      <c r="B528" s="2">
        <v>930042.0</v>
      </c>
      <c r="C528" s="2">
        <v>14778.0</v>
      </c>
      <c r="D528" s="2">
        <f>_xlfn.IFERROR(B528-B527,0)</f>
        <v>8483.0</v>
      </c>
      <c r="E528" s="2">
        <f>_xlfn.IFERROR(C528-C527,0)</f>
        <v>132.0</v>
      </c>
      <c r="F528" s="1">
        <f>INT((A528-DATE(2020,1,22))/7)+1</f>
        <v>76.0</v>
      </c>
      <c r="G528" s="1" t="str">
        <f>"Week_"&amp;F528</f>
        <v>Week_76</v>
      </c>
    </row>
    <row r="529" spans="8:8" ht="15.1">
      <c r="A529" s="3">
        <v>44379.0</v>
      </c>
      <c r="B529" s="2">
        <v>936256.0</v>
      </c>
      <c r="C529" s="2">
        <v>14912.0</v>
      </c>
      <c r="D529" s="2">
        <f>_xlfn.IFERROR(B529-B528,0)</f>
        <v>6214.0</v>
      </c>
      <c r="E529" s="2">
        <f>_xlfn.IFERROR(C529-C528,0)</f>
        <v>134.0</v>
      </c>
      <c r="F529" s="1">
        <f>INT((A529-DATE(2020,1,22))/7)+1</f>
        <v>76.0</v>
      </c>
      <c r="G529" s="1" t="str">
        <f>"Week_"&amp;F529</f>
        <v>Week_76</v>
      </c>
    </row>
    <row r="530" spans="8:8" ht="15.1">
      <c r="A530" s="3">
        <v>44380.0</v>
      </c>
      <c r="B530" s="2">
        <v>944917.0</v>
      </c>
      <c r="C530" s="2">
        <v>15065.0</v>
      </c>
      <c r="D530" s="2">
        <f>_xlfn.IFERROR(B530-B529,0)</f>
        <v>8661.0</v>
      </c>
      <c r="E530" s="2">
        <f>_xlfn.IFERROR(C530-C529,0)</f>
        <v>153.0</v>
      </c>
      <c r="F530" s="1">
        <f>INT((A530-DATE(2020,1,22))/7)+1</f>
        <v>76.0</v>
      </c>
      <c r="G530" s="1" t="str">
        <f>"Week_"&amp;F530</f>
        <v>Week_76</v>
      </c>
    </row>
    <row r="531" spans="8:8" ht="15.1">
      <c r="A531" s="3">
        <v>44381.0</v>
      </c>
      <c r="B531" s="2">
        <v>954881.0</v>
      </c>
      <c r="C531" s="2">
        <v>15229.0</v>
      </c>
      <c r="D531" s="2">
        <f>_xlfn.IFERROR(B531-B530,0)</f>
        <v>9964.0</v>
      </c>
      <c r="E531" s="2">
        <f>_xlfn.IFERROR(C531-C530,0)</f>
        <v>164.0</v>
      </c>
      <c r="F531" s="1">
        <f>INT((A531-DATE(2020,1,22))/7)+1</f>
        <v>76.0</v>
      </c>
      <c r="G531" s="1" t="str">
        <f>"Week_"&amp;F531</f>
        <v>Week_76</v>
      </c>
    </row>
    <row r="532" spans="8:8" ht="15.1">
      <c r="A532" s="3">
        <v>44382.0</v>
      </c>
      <c r="B532" s="2">
        <v>966406.0</v>
      </c>
      <c r="C532" s="2">
        <v>15392.0</v>
      </c>
      <c r="D532" s="2">
        <f>_xlfn.IFERROR(B532-B531,0)</f>
        <v>11525.0</v>
      </c>
      <c r="E532" s="2">
        <f>_xlfn.IFERROR(C532-C531,0)</f>
        <v>163.0</v>
      </c>
      <c r="F532" s="1">
        <f>INT((A532-DATE(2020,1,22))/7)+1</f>
        <v>76.0</v>
      </c>
      <c r="G532" s="1" t="str">
        <f>"Week_"&amp;F532</f>
        <v>Week_76</v>
      </c>
    </row>
    <row r="533" spans="8:8" ht="15.1">
      <c r="A533" s="3">
        <v>44383.0</v>
      </c>
      <c r="B533" s="2">
        <v>977568.0</v>
      </c>
      <c r="C533" s="2">
        <v>15593.0</v>
      </c>
      <c r="D533" s="2">
        <f>_xlfn.IFERROR(B533-B532,0)</f>
        <v>11162.0</v>
      </c>
      <c r="E533" s="2">
        <f>_xlfn.IFERROR(C533-C532,0)</f>
        <v>201.0</v>
      </c>
      <c r="F533" s="1">
        <f>INT((A533-DATE(2020,1,22))/7)+1</f>
        <v>76.0</v>
      </c>
      <c r="G533" s="1" t="str">
        <f>"Week_"&amp;F533</f>
        <v>Week_76</v>
      </c>
    </row>
    <row r="534" spans="8:8" ht="15.1">
      <c r="A534" s="3">
        <v>44384.0</v>
      </c>
      <c r="B534" s="2">
        <v>989219.0</v>
      </c>
      <c r="C534" s="2">
        <v>15792.0</v>
      </c>
      <c r="D534" s="2">
        <f>_xlfn.IFERROR(B534-B533,0)</f>
        <v>11651.0</v>
      </c>
      <c r="E534" s="2">
        <f>_xlfn.IFERROR(C534-C533,0)</f>
        <v>199.0</v>
      </c>
      <c r="F534" s="1">
        <f>INT((A534-DATE(2020,1,22))/7)+1</f>
        <v>77.0</v>
      </c>
      <c r="G534" s="1" t="str">
        <f>"Week_"&amp;F534</f>
        <v>Week_77</v>
      </c>
    </row>
    <row r="535" spans="8:8" ht="15.1">
      <c r="A535" s="3">
        <v>44385.0</v>
      </c>
      <c r="B535" s="2">
        <v>1000543.0</v>
      </c>
      <c r="C535" s="2">
        <v>16004.0</v>
      </c>
      <c r="D535" s="2">
        <f>_xlfn.IFERROR(B535-B534,0)</f>
        <v>11324.0</v>
      </c>
      <c r="E535" s="2">
        <f>_xlfn.IFERROR(C535-C534,0)</f>
        <v>212.0</v>
      </c>
      <c r="F535" s="1">
        <f>INT((A535-DATE(2020,1,22))/7)+1</f>
        <v>77.0</v>
      </c>
      <c r="G535" s="1" t="str">
        <f>"Week_"&amp;F535</f>
        <v>Week_77</v>
      </c>
    </row>
    <row r="536" spans="8:8" ht="15.1">
      <c r="A536" s="3">
        <v>44386.0</v>
      </c>
      <c r="B536" s="2">
        <v>1009315.0</v>
      </c>
      <c r="C536" s="2">
        <v>16189.0</v>
      </c>
      <c r="D536" s="2">
        <f>_xlfn.IFERROR(B536-B535,0)</f>
        <v>8772.0</v>
      </c>
      <c r="E536" s="2">
        <f>_xlfn.IFERROR(C536-C535,0)</f>
        <v>185.0</v>
      </c>
      <c r="F536" s="1">
        <f>INT((A536-DATE(2020,1,22))/7)+1</f>
        <v>77.0</v>
      </c>
      <c r="G536" s="1" t="str">
        <f>"Week_"&amp;F536</f>
        <v>Week_77</v>
      </c>
    </row>
    <row r="537" spans="8:8" ht="15.1">
      <c r="A537" s="3">
        <v>44387.0</v>
      </c>
      <c r="B537" s="2">
        <v>1021189.0</v>
      </c>
      <c r="C537" s="2">
        <v>16419.0</v>
      </c>
      <c r="D537" s="2">
        <f>_xlfn.IFERROR(B537-B536,0)</f>
        <v>11874.0</v>
      </c>
      <c r="E537" s="2">
        <f>_xlfn.IFERROR(C537-C536,0)</f>
        <v>230.0</v>
      </c>
      <c r="F537" s="1">
        <f>INT((A537-DATE(2020,1,22))/7)+1</f>
        <v>77.0</v>
      </c>
      <c r="G537" s="1" t="str">
        <f>"Week_"&amp;F537</f>
        <v>Week_77</v>
      </c>
    </row>
    <row r="538" spans="8:8" ht="15.1">
      <c r="A538" s="3">
        <v>44388.0</v>
      </c>
      <c r="B538" s="2">
        <v>1034957.0</v>
      </c>
      <c r="C538" s="2">
        <v>16639.0</v>
      </c>
      <c r="D538" s="2">
        <f>_xlfn.IFERROR(B538-B537,0)</f>
        <v>13768.0</v>
      </c>
      <c r="E538" s="2">
        <f>_xlfn.IFERROR(C538-C537,0)</f>
        <v>220.0</v>
      </c>
      <c r="F538" s="1">
        <f>INT((A538-DATE(2020,1,22))/7)+1</f>
        <v>77.0</v>
      </c>
      <c r="G538" s="1" t="str">
        <f>"Week_"&amp;F538</f>
        <v>Week_77</v>
      </c>
    </row>
    <row r="539" spans="8:8" ht="15.1">
      <c r="A539" s="3">
        <v>44389.0</v>
      </c>
      <c r="B539" s="2">
        <v>1047155.0</v>
      </c>
      <c r="C539" s="2">
        <v>16842.0</v>
      </c>
      <c r="D539" s="2">
        <f>_xlfn.IFERROR(B539-B538,0)</f>
        <v>12198.0</v>
      </c>
      <c r="E539" s="2">
        <f>_xlfn.IFERROR(C539-C538,0)</f>
        <v>203.0</v>
      </c>
      <c r="F539" s="1">
        <f>INT((A539-DATE(2020,1,22))/7)+1</f>
        <v>77.0</v>
      </c>
      <c r="G539" s="1" t="str">
        <f>"Week_"&amp;F539</f>
        <v>Week_77</v>
      </c>
    </row>
    <row r="540" spans="8:8" ht="15.1">
      <c r="A540" s="3">
        <v>44390.0</v>
      </c>
      <c r="B540" s="2">
        <v>1059538.0</v>
      </c>
      <c r="C540" s="2">
        <v>17052.0</v>
      </c>
      <c r="D540" s="2">
        <f>_xlfn.IFERROR(B540-B539,0)</f>
        <v>12383.0</v>
      </c>
      <c r="E540" s="2">
        <f>_xlfn.IFERROR(C540-C539,0)</f>
        <v>210.0</v>
      </c>
      <c r="F540" s="1">
        <f>INT((A540-DATE(2020,1,22))/7)+1</f>
        <v>77.0</v>
      </c>
      <c r="G540" s="1" t="str">
        <f>"Week_"&amp;F540</f>
        <v>Week_77</v>
      </c>
    </row>
    <row r="541" spans="8:8" ht="15.1">
      <c r="A541" s="3">
        <v>44391.0</v>
      </c>
      <c r="B541" s="2">
        <v>1071774.0</v>
      </c>
      <c r="C541" s="2">
        <v>17278.0</v>
      </c>
      <c r="D541" s="2">
        <f>_xlfn.IFERROR(B541-B540,0)</f>
        <v>12236.0</v>
      </c>
      <c r="E541" s="2">
        <f>_xlfn.IFERROR(C541-C540,0)</f>
        <v>226.0</v>
      </c>
      <c r="F541" s="1">
        <f>INT((A541-DATE(2020,1,22))/7)+1</f>
        <v>78.0</v>
      </c>
      <c r="G541" s="1" t="str">
        <f>"Week_"&amp;F541</f>
        <v>Week_78</v>
      </c>
    </row>
    <row r="542" spans="8:8" ht="15.1">
      <c r="A542" s="3">
        <v>44392.0</v>
      </c>
      <c r="B542" s="2">
        <v>1083922.0</v>
      </c>
      <c r="C542" s="2">
        <v>17465.0</v>
      </c>
      <c r="D542" s="2">
        <f>_xlfn.IFERROR(B542-B541,0)</f>
        <v>12148.0</v>
      </c>
      <c r="E542" s="2">
        <f>_xlfn.IFERROR(C542-C541,0)</f>
        <v>187.0</v>
      </c>
      <c r="F542" s="1">
        <f>INT((A542-DATE(2020,1,22))/7)+1</f>
        <v>78.0</v>
      </c>
      <c r="G542" s="1" t="str">
        <f>"Week_"&amp;F542</f>
        <v>Week_78</v>
      </c>
    </row>
    <row r="543" spans="8:8" ht="15.1">
      <c r="A543" s="3">
        <v>44393.0</v>
      </c>
      <c r="B543" s="2">
        <v>1092411.0</v>
      </c>
      <c r="C543" s="2">
        <v>17669.0</v>
      </c>
      <c r="D543" s="2">
        <f>_xlfn.IFERROR(B543-B542,0)</f>
        <v>8489.0</v>
      </c>
      <c r="E543" s="2">
        <f>_xlfn.IFERROR(C543-C542,0)</f>
        <v>204.0</v>
      </c>
      <c r="F543" s="1">
        <f>INT((A543-DATE(2020,1,22))/7)+1</f>
        <v>78.0</v>
      </c>
      <c r="G543" s="1" t="str">
        <f>"Week_"&amp;F543</f>
        <v>Week_78</v>
      </c>
    </row>
    <row r="544" spans="8:8" ht="15.1">
      <c r="A544" s="3">
        <v>44394.0</v>
      </c>
      <c r="B544" s="2">
        <v>1103989.0</v>
      </c>
      <c r="C544" s="2">
        <v>17894.0</v>
      </c>
      <c r="D544" s="2">
        <f>_xlfn.IFERROR(B544-B543,0)</f>
        <v>11578.0</v>
      </c>
      <c r="E544" s="2">
        <f>_xlfn.IFERROR(C544-C543,0)</f>
        <v>225.0</v>
      </c>
      <c r="F544" s="1">
        <f>INT((A544-DATE(2020,1,22))/7)+1</f>
        <v>78.0</v>
      </c>
      <c r="G544" s="1" t="str">
        <f>"Week_"&amp;F544</f>
        <v>Week_78</v>
      </c>
    </row>
    <row r="545" spans="8:8" ht="15.1">
      <c r="A545" s="3">
        <v>44395.0</v>
      </c>
      <c r="B545" s="2">
        <v>1117310.0</v>
      </c>
      <c r="C545" s="2">
        <v>18125.0</v>
      </c>
      <c r="D545" s="2">
        <f>_xlfn.IFERROR(B545-B544,0)</f>
        <v>13321.0</v>
      </c>
      <c r="E545" s="2">
        <f>_xlfn.IFERROR(C545-C544,0)</f>
        <v>231.0</v>
      </c>
      <c r="F545" s="1">
        <f>INT((A545-DATE(2020,1,22))/7)+1</f>
        <v>78.0</v>
      </c>
      <c r="G545" s="1" t="str">
        <f>"Week_"&amp;F545</f>
        <v>Week_78</v>
      </c>
    </row>
    <row r="546" spans="8:8" ht="15.1">
      <c r="A546" s="3">
        <v>44396.0</v>
      </c>
      <c r="B546" s="2">
        <v>1128889.0</v>
      </c>
      <c r="C546" s="2">
        <v>18325.0</v>
      </c>
      <c r="D546" s="2">
        <f>_xlfn.IFERROR(B546-B545,0)</f>
        <v>11579.0</v>
      </c>
      <c r="E546" s="2">
        <f>_xlfn.IFERROR(C546-C545,0)</f>
        <v>200.0</v>
      </c>
      <c r="F546" s="1">
        <f>INT((A546-DATE(2020,1,22))/7)+1</f>
        <v>78.0</v>
      </c>
      <c r="G546" s="1" t="str">
        <f>"Week_"&amp;F546</f>
        <v>Week_78</v>
      </c>
    </row>
    <row r="547" spans="8:8" ht="15.1">
      <c r="A547" s="3">
        <v>44397.0</v>
      </c>
      <c r="B547" s="2">
        <v>1136503.0</v>
      </c>
      <c r="C547" s="2">
        <v>18498.0</v>
      </c>
      <c r="D547" s="2">
        <f>_xlfn.IFERROR(B547-B546,0)</f>
        <v>7614.0</v>
      </c>
      <c r="E547" s="2">
        <f>_xlfn.IFERROR(C547-C546,0)</f>
        <v>173.0</v>
      </c>
      <c r="F547" s="1">
        <f>INT((A547-DATE(2020,1,22))/7)+1</f>
        <v>78.0</v>
      </c>
      <c r="G547" s="1" t="str">
        <f>"Week_"&amp;F547</f>
        <v>Week_78</v>
      </c>
    </row>
    <row r="548" spans="8:8" ht="15.1">
      <c r="A548" s="3">
        <v>44398.0</v>
      </c>
      <c r="B548" s="2">
        <v>1140200.0</v>
      </c>
      <c r="C548" s="2">
        <v>18685.0</v>
      </c>
      <c r="D548" s="2">
        <f>_xlfn.IFERROR(B548-B547,0)</f>
        <v>3697.0</v>
      </c>
      <c r="E548" s="2">
        <f>_xlfn.IFERROR(C548-C547,0)</f>
        <v>187.0</v>
      </c>
      <c r="F548" s="1">
        <f>INT((A548-DATE(2020,1,22))/7)+1</f>
        <v>79.0</v>
      </c>
      <c r="G548" s="1" t="str">
        <f>"Week_"&amp;F548</f>
        <v>Week_79</v>
      </c>
    </row>
    <row r="549" spans="8:8" ht="15.1">
      <c r="A549" s="3">
        <v>44399.0</v>
      </c>
      <c r="B549" s="2">
        <v>1146564.0</v>
      </c>
      <c r="C549" s="2">
        <v>18851.0</v>
      </c>
      <c r="D549" s="2">
        <f>_xlfn.IFERROR(B549-B548,0)</f>
        <v>6364.0</v>
      </c>
      <c r="E549" s="2">
        <f>_xlfn.IFERROR(C549-C548,0)</f>
        <v>166.0</v>
      </c>
      <c r="F549" s="1">
        <f>INT((A549-DATE(2020,1,22))/7)+1</f>
        <v>79.0</v>
      </c>
      <c r="G549" s="1" t="str">
        <f>"Week_"&amp;F549</f>
        <v>Week_79</v>
      </c>
    </row>
    <row r="550" spans="8:8" ht="15.1">
      <c r="A550" s="3">
        <v>44400.0</v>
      </c>
      <c r="B550" s="2">
        <v>1153344.0</v>
      </c>
      <c r="C550" s="2">
        <v>19046.0</v>
      </c>
      <c r="D550" s="2">
        <f>_xlfn.IFERROR(B550-B549,0)</f>
        <v>6780.0</v>
      </c>
      <c r="E550" s="2">
        <f>_xlfn.IFERROR(C550-C549,0)</f>
        <v>195.0</v>
      </c>
      <c r="F550" s="1">
        <f>INT((A550-DATE(2020,1,22))/7)+1</f>
        <v>79.0</v>
      </c>
      <c r="G550" s="1" t="str">
        <f>"Week_"&amp;F550</f>
        <v>Week_79</v>
      </c>
    </row>
    <row r="551" spans="8:8" ht="15.1">
      <c r="A551" s="3">
        <v>44401.0</v>
      </c>
      <c r="B551" s="2">
        <v>1164635.0</v>
      </c>
      <c r="C551" s="2">
        <v>19274.0</v>
      </c>
      <c r="D551" s="2">
        <f>_xlfn.IFERROR(B551-B550,0)</f>
        <v>11291.0</v>
      </c>
      <c r="E551" s="2">
        <f>_xlfn.IFERROR(C551-C550,0)</f>
        <v>228.0</v>
      </c>
      <c r="F551" s="1">
        <f>INT((A551-DATE(2020,1,22))/7)+1</f>
        <v>79.0</v>
      </c>
      <c r="G551" s="1" t="str">
        <f>"Week_"&amp;F551</f>
        <v>Week_79</v>
      </c>
    </row>
    <row r="552" spans="8:8" ht="15.1">
      <c r="A552" s="3">
        <v>44402.0</v>
      </c>
      <c r="B552" s="2">
        <v>1179827.0</v>
      </c>
      <c r="C552" s="2">
        <v>19521.0</v>
      </c>
      <c r="D552" s="2">
        <f>_xlfn.IFERROR(B552-B551,0)</f>
        <v>15192.0</v>
      </c>
      <c r="E552" s="2">
        <f>_xlfn.IFERROR(C552-C551,0)</f>
        <v>247.0</v>
      </c>
      <c r="F552" s="1">
        <f>INT((A552-DATE(2020,1,22))/7)+1</f>
        <v>79.0</v>
      </c>
      <c r="G552" s="1" t="str">
        <f>"Week_"&amp;F552</f>
        <v>Week_79</v>
      </c>
    </row>
    <row r="553" spans="8:8" ht="15.1">
      <c r="A553" s="3">
        <v>44403.0</v>
      </c>
      <c r="B553" s="2">
        <v>1194752.0</v>
      </c>
      <c r="C553" s="2">
        <v>19779.0</v>
      </c>
      <c r="D553" s="2">
        <f>_xlfn.IFERROR(B553-B552,0)</f>
        <v>14925.0</v>
      </c>
      <c r="E553" s="2">
        <f>_xlfn.IFERROR(C553-C552,0)</f>
        <v>258.0</v>
      </c>
      <c r="F553" s="1">
        <f>INT((A553-DATE(2020,1,22))/7)+1</f>
        <v>79.0</v>
      </c>
      <c r="G553" s="1" t="str">
        <f>"Week_"&amp;F553</f>
        <v>Week_79</v>
      </c>
    </row>
    <row r="554" spans="8:8" ht="15.1">
      <c r="A554" s="3">
        <v>44404.0</v>
      </c>
      <c r="B554" s="2">
        <v>1210982.0</v>
      </c>
      <c r="C554" s="2">
        <v>20016.0</v>
      </c>
      <c r="D554" s="2">
        <f>_xlfn.IFERROR(B554-B553,0)</f>
        <v>16230.0</v>
      </c>
      <c r="E554" s="2">
        <f>_xlfn.IFERROR(C554-C553,0)</f>
        <v>237.0</v>
      </c>
      <c r="F554" s="1">
        <f>INT((A554-DATE(2020,1,22))/7)+1</f>
        <v>79.0</v>
      </c>
      <c r="G554" s="1" t="str">
        <f>"Week_"&amp;F554</f>
        <v>Week_79</v>
      </c>
    </row>
    <row r="555" spans="8:8" ht="15.1">
      <c r="A555" s="3">
        <v>44405.0</v>
      </c>
      <c r="B555" s="2">
        <v>1226253.0</v>
      </c>
      <c r="C555" s="2">
        <v>20255.0</v>
      </c>
      <c r="D555" s="2">
        <f>_xlfn.IFERROR(B555-B554,0)</f>
        <v>15271.0</v>
      </c>
      <c r="E555" s="2">
        <f>_xlfn.IFERROR(C555-C554,0)</f>
        <v>239.0</v>
      </c>
      <c r="F555" s="1">
        <f>INT((A555-DATE(2020,1,22))/7)+1</f>
        <v>80.0</v>
      </c>
      <c r="G555" s="1" t="str">
        <f>"Week_"&amp;F555</f>
        <v>Week_80</v>
      </c>
    </row>
    <row r="556" spans="8:8" ht="15.1">
      <c r="A556" s="3">
        <v>44406.0</v>
      </c>
      <c r="B556" s="2">
        <v>1240115.0</v>
      </c>
      <c r="C556" s="2">
        <v>20467.0</v>
      </c>
      <c r="D556" s="2">
        <f>_xlfn.IFERROR(B556-B555,0)</f>
        <v>13862.0</v>
      </c>
      <c r="E556" s="2">
        <f>_xlfn.IFERROR(C556-C555,0)</f>
        <v>212.0</v>
      </c>
      <c r="F556" s="1">
        <f>INT((A556-DATE(2020,1,22))/7)+1</f>
        <v>80.0</v>
      </c>
      <c r="G556" s="1" t="str">
        <f>"Week_"&amp;F556</f>
        <v>Week_80</v>
      </c>
    </row>
    <row r="557" spans="8:8" ht="15.1">
      <c r="A557" s="3">
        <v>44407.0</v>
      </c>
      <c r="B557" s="2">
        <v>1249484.0</v>
      </c>
      <c r="C557" s="2">
        <v>20685.0</v>
      </c>
      <c r="D557" s="2">
        <f>_xlfn.IFERROR(B557-B556,0)</f>
        <v>9369.0</v>
      </c>
      <c r="E557" s="2">
        <f>_xlfn.IFERROR(C557-C556,0)</f>
        <v>218.0</v>
      </c>
      <c r="F557" s="1">
        <f>INT((A557-DATE(2020,1,22))/7)+1</f>
        <v>80.0</v>
      </c>
      <c r="G557" s="1" t="str">
        <f>"Week_"&amp;F557</f>
        <v>Week_80</v>
      </c>
    </row>
    <row r="558" spans="8:8" ht="15.1">
      <c r="A558" s="3">
        <v>44408.0</v>
      </c>
      <c r="B558" s="2">
        <v>1264328.0</v>
      </c>
      <c r="C558" s="2">
        <v>20916.0</v>
      </c>
      <c r="D558" s="2">
        <f>_xlfn.IFERROR(B558-B557,0)</f>
        <v>14844.0</v>
      </c>
      <c r="E558" s="2">
        <f>_xlfn.IFERROR(C558-C557,0)</f>
        <v>231.0</v>
      </c>
      <c r="F558" s="1">
        <f>INT((A558-DATE(2020,1,22))/7)+1</f>
        <v>80.0</v>
      </c>
      <c r="G558" s="1" t="str">
        <f>"Week_"&amp;F558</f>
        <v>Week_80</v>
      </c>
    </row>
    <row r="559" spans="8:8" ht="15.1">
      <c r="A559" s="3">
        <v>44409.0</v>
      </c>
      <c r="B559" s="2">
        <v>1280317.0</v>
      </c>
      <c r="C559" s="2">
        <v>21162.0</v>
      </c>
      <c r="D559" s="2">
        <f>_xlfn.IFERROR(B559-B558,0)</f>
        <v>15989.0</v>
      </c>
      <c r="E559" s="2">
        <f>_xlfn.IFERROR(C559-C558,0)</f>
        <v>246.0</v>
      </c>
      <c r="F559" s="1">
        <f>INT((A559-DATE(2020,1,22))/7)+1</f>
        <v>80.0</v>
      </c>
      <c r="G559" s="1" t="str">
        <f>"Week_"&amp;F559</f>
        <v>Week_80</v>
      </c>
    </row>
    <row r="560" spans="8:8" ht="15.1">
      <c r="A560" s="3">
        <v>44410.0</v>
      </c>
      <c r="B560" s="2">
        <v>1296093.0</v>
      </c>
      <c r="C560" s="2">
        <v>21397.0</v>
      </c>
      <c r="D560" s="2">
        <f>_xlfn.IFERROR(B560-B559,0)</f>
        <v>15776.0</v>
      </c>
      <c r="E560" s="2">
        <f>_xlfn.IFERROR(C560-C559,0)</f>
        <v>235.0</v>
      </c>
      <c r="F560" s="1">
        <f>INT((A560-DATE(2020,1,22))/7)+1</f>
        <v>80.0</v>
      </c>
      <c r="G560" s="1" t="str">
        <f>"Week_"&amp;F560</f>
        <v>Week_80</v>
      </c>
    </row>
    <row r="561" spans="8:8" ht="15.1">
      <c r="A561" s="3">
        <v>44411.0</v>
      </c>
      <c r="B561" s="2">
        <v>1309910.0</v>
      </c>
      <c r="C561" s="2">
        <v>21638.0</v>
      </c>
      <c r="D561" s="2">
        <f>_xlfn.IFERROR(B561-B560,0)</f>
        <v>13817.0</v>
      </c>
      <c r="E561" s="2">
        <f>_xlfn.IFERROR(C561-C560,0)</f>
        <v>241.0</v>
      </c>
      <c r="F561" s="1">
        <f>INT((A561-DATE(2020,1,22))/7)+1</f>
        <v>80.0</v>
      </c>
      <c r="G561" s="1" t="str">
        <f>"Week_"&amp;F561</f>
        <v>Week_80</v>
      </c>
    </row>
    <row r="562" spans="8:8" ht="15.1">
      <c r="A562" s="3">
        <v>44412.0</v>
      </c>
      <c r="B562" s="2">
        <v>1322654.0</v>
      </c>
      <c r="C562" s="2">
        <v>21902.0</v>
      </c>
      <c r="D562" s="2">
        <f>_xlfn.IFERROR(B562-B561,0)</f>
        <v>12744.0</v>
      </c>
      <c r="E562" s="2">
        <f>_xlfn.IFERROR(C562-C561,0)</f>
        <v>264.0</v>
      </c>
      <c r="F562" s="1">
        <f>INT((A562-DATE(2020,1,22))/7)+1</f>
        <v>81.0</v>
      </c>
      <c r="G562" s="1" t="str">
        <f>"Week_"&amp;F562</f>
        <v>Week_81</v>
      </c>
    </row>
    <row r="563" spans="8:8" ht="15.1">
      <c r="A563" s="3">
        <v>44413.0</v>
      </c>
      <c r="B563" s="2">
        <v>1335260.0</v>
      </c>
      <c r="C563" s="2">
        <v>22150.0</v>
      </c>
      <c r="D563" s="2">
        <f>_xlfn.IFERROR(B563-B562,0)</f>
        <v>12606.0</v>
      </c>
      <c r="E563" s="2">
        <f>_xlfn.IFERROR(C563-C562,0)</f>
        <v>248.0</v>
      </c>
      <c r="F563" s="1">
        <f>INT((A563-DATE(2020,1,22))/7)+1</f>
        <v>81.0</v>
      </c>
      <c r="G563" s="1" t="str">
        <f>"Week_"&amp;F563</f>
        <v>Week_81</v>
      </c>
    </row>
    <row r="564" spans="8:8" ht="15.1">
      <c r="A564" s="3">
        <v>44414.0</v>
      </c>
      <c r="B564" s="2">
        <v>1343396.0</v>
      </c>
      <c r="C564" s="2">
        <v>22411.0</v>
      </c>
      <c r="D564" s="2">
        <f>_xlfn.IFERROR(B564-B563,0)</f>
        <v>8136.0</v>
      </c>
      <c r="E564" s="2">
        <f>_xlfn.IFERROR(C564-C563,0)</f>
        <v>261.0</v>
      </c>
      <c r="F564" s="1">
        <f>INT((A564-DATE(2020,1,22))/7)+1</f>
        <v>81.0</v>
      </c>
      <c r="G564" s="1" t="str">
        <f>"Week_"&amp;F564</f>
        <v>Week_81</v>
      </c>
    </row>
    <row r="565" spans="8:8" ht="15.1">
      <c r="A565" s="3">
        <v>44415.0</v>
      </c>
      <c r="B565" s="2">
        <v>1353695.0</v>
      </c>
      <c r="C565" s="2">
        <v>22652.0</v>
      </c>
      <c r="D565" s="2">
        <f>_xlfn.IFERROR(B565-B564,0)</f>
        <v>10299.0</v>
      </c>
      <c r="E565" s="2">
        <f>_xlfn.IFERROR(C565-C564,0)</f>
        <v>241.0</v>
      </c>
      <c r="F565" s="1">
        <f>INT((A565-DATE(2020,1,22))/7)+1</f>
        <v>81.0</v>
      </c>
      <c r="G565" s="1" t="str">
        <f>"Week_"&amp;F565</f>
        <v>Week_81</v>
      </c>
    </row>
    <row r="566" spans="8:8" ht="15.1">
      <c r="A566" s="3">
        <v>44416.0</v>
      </c>
      <c r="B566" s="2">
        <v>1365158.0</v>
      </c>
      <c r="C566" s="2">
        <v>22897.0</v>
      </c>
      <c r="D566" s="2">
        <f>_xlfn.IFERROR(B566-B565,0)</f>
        <v>11463.0</v>
      </c>
      <c r="E566" s="2">
        <f>_xlfn.IFERROR(C566-C565,0)</f>
        <v>245.0</v>
      </c>
      <c r="F566" s="1">
        <f>INT((A566-DATE(2020,1,22))/7)+1</f>
        <v>81.0</v>
      </c>
      <c r="G566" s="1" t="str">
        <f>"Week_"&amp;F566</f>
        <v>Week_81</v>
      </c>
    </row>
    <row r="567" spans="8:8" ht="15.1">
      <c r="A567" s="3">
        <v>44417.0</v>
      </c>
      <c r="B567" s="2">
        <v>1376322.0</v>
      </c>
      <c r="C567" s="2">
        <v>23161.0</v>
      </c>
      <c r="D567" s="2">
        <f>_xlfn.IFERROR(B567-B566,0)</f>
        <v>11164.0</v>
      </c>
      <c r="E567" s="2">
        <f>_xlfn.IFERROR(C567-C566,0)</f>
        <v>264.0</v>
      </c>
      <c r="F567" s="1">
        <f>INT((A567-DATE(2020,1,22))/7)+1</f>
        <v>81.0</v>
      </c>
      <c r="G567" s="1" t="str">
        <f>"Week_"&amp;F567</f>
        <v>Week_81</v>
      </c>
    </row>
    <row r="568" spans="8:8" ht="15.1">
      <c r="A568" s="3">
        <v>44418.0</v>
      </c>
      <c r="B568" s="2">
        <v>1386742.0</v>
      </c>
      <c r="C568" s="2">
        <v>23398.0</v>
      </c>
      <c r="D568" s="2">
        <f>_xlfn.IFERROR(B568-B567,0)</f>
        <v>10420.0</v>
      </c>
      <c r="E568" s="2">
        <f>_xlfn.IFERROR(C568-C567,0)</f>
        <v>237.0</v>
      </c>
      <c r="F568" s="1">
        <f>INT((A568-DATE(2020,1,22))/7)+1</f>
        <v>81.0</v>
      </c>
      <c r="G568" s="1" t="str">
        <f>"Week_"&amp;F568</f>
        <v>Week_81</v>
      </c>
    </row>
    <row r="569" spans="8:8" ht="15.1">
      <c r="A569" s="3">
        <v>44419.0</v>
      </c>
      <c r="B569" s="2">
        <v>1396868.0</v>
      </c>
      <c r="C569" s="2">
        <v>23613.0</v>
      </c>
      <c r="D569" s="2">
        <f>_xlfn.IFERROR(B569-B568,0)</f>
        <v>10126.0</v>
      </c>
      <c r="E569" s="2">
        <f>_xlfn.IFERROR(C569-C568,0)</f>
        <v>215.0</v>
      </c>
      <c r="F569" s="1">
        <f>INT((A569-DATE(2020,1,22))/7)+1</f>
        <v>82.0</v>
      </c>
      <c r="G569" s="1" t="str">
        <f>"Week_"&amp;F569</f>
        <v>Week_82</v>
      </c>
    </row>
    <row r="570" spans="8:8" ht="15.1">
      <c r="A570" s="3">
        <v>44420.0</v>
      </c>
      <c r="B570" s="2">
        <v>1405333.0</v>
      </c>
      <c r="C570" s="2">
        <v>23810.0</v>
      </c>
      <c r="D570" s="2">
        <f>_xlfn.IFERROR(B570-B569,0)</f>
        <v>8465.0</v>
      </c>
      <c r="E570" s="2">
        <f>_xlfn.IFERROR(C570-C569,0)</f>
        <v>197.0</v>
      </c>
      <c r="F570" s="1">
        <f>INT((A570-DATE(2020,1,22))/7)+1</f>
        <v>82.0</v>
      </c>
      <c r="G570" s="1" t="str">
        <f>"Week_"&amp;F570</f>
        <v>Week_82</v>
      </c>
    </row>
    <row r="571" spans="8:8" ht="15.1">
      <c r="A571" s="3">
        <v>44421.0</v>
      </c>
      <c r="B571" s="2">
        <v>1412218.0</v>
      </c>
      <c r="C571" s="2">
        <v>23988.0</v>
      </c>
      <c r="D571" s="2">
        <f>_xlfn.IFERROR(B571-B570,0)</f>
        <v>6885.0</v>
      </c>
      <c r="E571" s="2">
        <f>_xlfn.IFERROR(C571-C570,0)</f>
        <v>178.0</v>
      </c>
      <c r="F571" s="1">
        <f>INT((A571-DATE(2020,1,22))/7)+1</f>
        <v>82.0</v>
      </c>
      <c r="G571" s="1" t="str">
        <f>"Week_"&amp;F571</f>
        <v>Week_82</v>
      </c>
    </row>
    <row r="572" spans="8:8" ht="15.1">
      <c r="A572" s="3">
        <v>44422.0</v>
      </c>
      <c r="B572" s="2">
        <v>1418902.0</v>
      </c>
      <c r="C572" s="2">
        <v>24175.0</v>
      </c>
      <c r="D572" s="2">
        <f>_xlfn.IFERROR(B572-B571,0)</f>
        <v>6684.0</v>
      </c>
      <c r="E572" s="2">
        <f>_xlfn.IFERROR(C572-C571,0)</f>
        <v>187.0</v>
      </c>
      <c r="F572" s="1">
        <f>INT((A572-DATE(2020,1,22))/7)+1</f>
        <v>82.0</v>
      </c>
      <c r="G572" s="1" t="str">
        <f>"Week_"&amp;F572</f>
        <v>Week_82</v>
      </c>
    </row>
    <row r="573" spans="8:8" ht="15.1">
      <c r="A573" s="3">
        <v>44423.0</v>
      </c>
      <c r="B573" s="2">
        <v>1425861.0</v>
      </c>
      <c r="C573" s="2">
        <v>24349.0</v>
      </c>
      <c r="D573" s="2">
        <f>_xlfn.IFERROR(B573-B572,0)</f>
        <v>6959.0</v>
      </c>
      <c r="E573" s="2">
        <f>_xlfn.IFERROR(C573-C572,0)</f>
        <v>174.0</v>
      </c>
      <c r="F573" s="1">
        <f>INT((A573-DATE(2020,1,22))/7)+1</f>
        <v>82.0</v>
      </c>
      <c r="G573" s="1" t="str">
        <f>"Week_"&amp;F573</f>
        <v>Week_82</v>
      </c>
    </row>
    <row r="574" spans="8:8" ht="15.1">
      <c r="A574" s="3">
        <v>44424.0</v>
      </c>
      <c r="B574" s="2">
        <v>1433396.0</v>
      </c>
      <c r="C574" s="2">
        <v>24547.0</v>
      </c>
      <c r="D574" s="2">
        <f>_xlfn.IFERROR(B574-B573,0)</f>
        <v>7535.0</v>
      </c>
      <c r="E574" s="2">
        <f>_xlfn.IFERROR(C574-C573,0)</f>
        <v>198.0</v>
      </c>
      <c r="F574" s="1">
        <f>INT((A574-DATE(2020,1,22))/7)+1</f>
        <v>82.0</v>
      </c>
      <c r="G574" s="1" t="str">
        <f>"Week_"&amp;F574</f>
        <v>Week_82</v>
      </c>
    </row>
    <row r="575" spans="8:8" ht="15.1">
      <c r="A575" s="3">
        <v>44425.0</v>
      </c>
      <c r="B575" s="2">
        <v>1440644.0</v>
      </c>
      <c r="C575" s="2">
        <v>24719.0</v>
      </c>
      <c r="D575" s="2">
        <f>_xlfn.IFERROR(B575-B574,0)</f>
        <v>7248.0</v>
      </c>
      <c r="E575" s="2">
        <f>_xlfn.IFERROR(C575-C574,0)</f>
        <v>172.0</v>
      </c>
      <c r="F575" s="1">
        <f>INT((A575-DATE(2020,1,22))/7)+1</f>
        <v>82.0</v>
      </c>
      <c r="G575" s="1" t="str">
        <f>"Week_"&amp;F575</f>
        <v>Week_82</v>
      </c>
    </row>
    <row r="576" spans="8:8" ht="15.1">
      <c r="A576" s="3">
        <v>44426.0</v>
      </c>
      <c r="B576" s="2">
        <v>1447210.0</v>
      </c>
      <c r="C576" s="2">
        <v>24878.0</v>
      </c>
      <c r="D576" s="2">
        <f>_xlfn.IFERROR(B576-B575,0)</f>
        <v>6566.0</v>
      </c>
      <c r="E576" s="2">
        <f>_xlfn.IFERROR(C576-C575,0)</f>
        <v>159.0</v>
      </c>
      <c r="F576" s="1">
        <f>INT((A576-DATE(2020,1,22))/7)+1</f>
        <v>83.0</v>
      </c>
      <c r="G576" s="1" t="str">
        <f>"Week_"&amp;F576</f>
        <v>Week_83</v>
      </c>
    </row>
    <row r="577" spans="8:8" ht="15.1">
      <c r="A577" s="3">
        <v>44427.0</v>
      </c>
      <c r="B577" s="2">
        <v>1453203.0</v>
      </c>
      <c r="C577" s="2">
        <v>25023.0</v>
      </c>
      <c r="D577" s="2">
        <f>_xlfn.IFERROR(B577-B576,0)</f>
        <v>5993.0</v>
      </c>
      <c r="E577" s="2">
        <f>_xlfn.IFERROR(C577-C576,0)</f>
        <v>145.0</v>
      </c>
      <c r="F577" s="1">
        <f>INT((A577-DATE(2020,1,22))/7)+1</f>
        <v>83.0</v>
      </c>
      <c r="G577" s="1" t="str">
        <f>"Week_"&amp;F577</f>
        <v>Week_83</v>
      </c>
    </row>
    <row r="578" spans="8:8" ht="15.1">
      <c r="A578" s="3">
        <v>44428.0</v>
      </c>
      <c r="B578" s="2">
        <v>1457194.0</v>
      </c>
      <c r="C578" s="2">
        <v>25143.0</v>
      </c>
      <c r="D578" s="2">
        <f>_xlfn.IFERROR(B578-B577,0)</f>
        <v>3991.0</v>
      </c>
      <c r="E578" s="2">
        <f>_xlfn.IFERROR(C578-C577,0)</f>
        <v>120.0</v>
      </c>
      <c r="F578" s="1">
        <f>INT((A578-DATE(2020,1,22))/7)+1</f>
        <v>83.0</v>
      </c>
      <c r="G578" s="1" t="str">
        <f>"Week_"&amp;F578</f>
        <v>Week_83</v>
      </c>
    </row>
    <row r="579" spans="8:8" ht="15.1">
      <c r="A579" s="3">
        <v>44429.0</v>
      </c>
      <c r="B579" s="2">
        <v>1461998.0</v>
      </c>
      <c r="C579" s="2">
        <v>25282.0</v>
      </c>
      <c r="D579" s="2">
        <f>_xlfn.IFERROR(B579-B578,0)</f>
        <v>4804.0</v>
      </c>
      <c r="E579" s="2">
        <f>_xlfn.IFERROR(C579-C578,0)</f>
        <v>139.0</v>
      </c>
      <c r="F579" s="1">
        <f>INT((A579-DATE(2020,1,22))/7)+1</f>
        <v>83.0</v>
      </c>
      <c r="G579" s="1" t="str">
        <f>"Week_"&amp;F579</f>
        <v>Week_83</v>
      </c>
    </row>
    <row r="580" spans="8:8" ht="15.1">
      <c r="A580" s="3">
        <v>44430.0</v>
      </c>
      <c r="B580" s="2">
        <v>1467715.0</v>
      </c>
      <c r="C580" s="2">
        <v>25399.0</v>
      </c>
      <c r="D580" s="2">
        <f>_xlfn.IFERROR(B580-B579,0)</f>
        <v>5717.0</v>
      </c>
      <c r="E580" s="2">
        <f>_xlfn.IFERROR(C580-C579,0)</f>
        <v>117.0</v>
      </c>
      <c r="F580" s="1">
        <f>INT((A580-DATE(2020,1,22))/7)+1</f>
        <v>83.0</v>
      </c>
      <c r="G580" s="1" t="str">
        <f>"Week_"&amp;F580</f>
        <v>Week_83</v>
      </c>
    </row>
    <row r="581" spans="8:8" ht="15.1">
      <c r="A581" s="3">
        <v>44431.0</v>
      </c>
      <c r="B581" s="2">
        <v>1472964.0</v>
      </c>
      <c r="C581" s="2">
        <v>25513.0</v>
      </c>
      <c r="D581" s="2">
        <f>_xlfn.IFERROR(B581-B580,0)</f>
        <v>5249.0</v>
      </c>
      <c r="E581" s="2">
        <f>_xlfn.IFERROR(C581-C580,0)</f>
        <v>114.0</v>
      </c>
      <c r="F581" s="1">
        <f>INT((A581-DATE(2020,1,22))/7)+1</f>
        <v>83.0</v>
      </c>
      <c r="G581" s="1" t="str">
        <f>"Week_"&amp;F581</f>
        <v>Week_83</v>
      </c>
    </row>
    <row r="582" spans="8:8" ht="15.1">
      <c r="A582" s="3">
        <v>44432.0</v>
      </c>
      <c r="B582" s="2">
        <v>1477930.0</v>
      </c>
      <c r="C582" s="2">
        <v>25627.0</v>
      </c>
      <c r="D582" s="2">
        <f>_xlfn.IFERROR(B582-B581,0)</f>
        <v>4966.0</v>
      </c>
      <c r="E582" s="2">
        <f>_xlfn.IFERROR(C582-C581,0)</f>
        <v>114.0</v>
      </c>
      <c r="F582" s="1">
        <f>INT((A582-DATE(2020,1,22))/7)+1</f>
        <v>83.0</v>
      </c>
      <c r="G582" s="1" t="str">
        <f>"Week_"&amp;F582</f>
        <v>Week_83</v>
      </c>
    </row>
    <row r="583" spans="8:8" ht="15.1">
      <c r="A583" s="3">
        <v>44433.0</v>
      </c>
      <c r="B583" s="2">
        <v>1482628.0</v>
      </c>
      <c r="C583" s="2">
        <v>25729.0</v>
      </c>
      <c r="D583" s="2">
        <f>_xlfn.IFERROR(B583-B582,0)</f>
        <v>4698.0</v>
      </c>
      <c r="E583" s="2">
        <f>_xlfn.IFERROR(C583-C582,0)</f>
        <v>102.0</v>
      </c>
      <c r="F583" s="1">
        <f>INT((A583-DATE(2020,1,22))/7)+1</f>
        <v>84.0</v>
      </c>
      <c r="G583" s="1" t="str">
        <f>"Week_"&amp;F583</f>
        <v>Week_84</v>
      </c>
    </row>
    <row r="584" spans="8:8" ht="15.1">
      <c r="A584" s="3">
        <v>44434.0</v>
      </c>
      <c r="B584" s="2">
        <v>1486153.0</v>
      </c>
      <c r="C584" s="2">
        <v>25846.0</v>
      </c>
      <c r="D584" s="2">
        <f>_xlfn.IFERROR(B584-B583,0)</f>
        <v>3525.0</v>
      </c>
      <c r="E584" s="2">
        <f>_xlfn.IFERROR(C584-C583,0)</f>
        <v>117.0</v>
      </c>
      <c r="F584" s="1">
        <f>INT((A584-DATE(2020,1,22))/7)+1</f>
        <v>84.0</v>
      </c>
      <c r="G584" s="1" t="str">
        <f>"Week_"&amp;F584</f>
        <v>Week_84</v>
      </c>
    </row>
    <row r="585" spans="8:8" ht="15.1">
      <c r="A585" s="3">
        <v>44435.0</v>
      </c>
      <c r="B585" s="2">
        <v>1489589.0</v>
      </c>
      <c r="C585" s="2">
        <v>25926.0</v>
      </c>
      <c r="D585" s="2">
        <f>_xlfn.IFERROR(B585-B584,0)</f>
        <v>3436.0</v>
      </c>
      <c r="E585" s="2">
        <f>_xlfn.IFERROR(C585-C584,0)</f>
        <v>80.0</v>
      </c>
      <c r="F585" s="1">
        <f>INT((A585-DATE(2020,1,22))/7)+1</f>
        <v>84.0</v>
      </c>
      <c r="G585" s="1" t="str">
        <f>"Week_"&amp;F585</f>
        <v>Week_84</v>
      </c>
    </row>
    <row r="586" spans="8:8" ht="15.1">
      <c r="A586" s="3">
        <v>44436.0</v>
      </c>
      <c r="B586" s="2">
        <v>1493537.0</v>
      </c>
      <c r="C586" s="2">
        <v>26015.0</v>
      </c>
      <c r="D586" s="2">
        <f>_xlfn.IFERROR(B586-B585,0)</f>
        <v>3948.0</v>
      </c>
      <c r="E586" s="2">
        <f>_xlfn.IFERROR(C586-C585,0)</f>
        <v>89.0</v>
      </c>
      <c r="F586" s="1">
        <f>INT((A586-DATE(2020,1,22))/7)+1</f>
        <v>84.0</v>
      </c>
      <c r="G586" s="1" t="str">
        <f>"Week_"&amp;F586</f>
        <v>Week_84</v>
      </c>
    </row>
    <row r="587" spans="8:8" ht="15.1">
      <c r="A587" s="3">
        <v>44437.0</v>
      </c>
      <c r="B587" s="2">
        <v>1497261.0</v>
      </c>
      <c r="C587" s="2">
        <v>26109.0</v>
      </c>
      <c r="D587" s="2">
        <f>_xlfn.IFERROR(B587-B586,0)</f>
        <v>3724.0</v>
      </c>
      <c r="E587" s="2">
        <f>_xlfn.IFERROR(C587-C586,0)</f>
        <v>94.0</v>
      </c>
      <c r="F587" s="1">
        <f>INT((A587-DATE(2020,1,22))/7)+1</f>
        <v>84.0</v>
      </c>
      <c r="G587" s="1" t="str">
        <f>"Week_"&amp;F587</f>
        <v>Week_84</v>
      </c>
    </row>
    <row r="588" spans="8:8" ht="15.1">
      <c r="A588" s="3">
        <v>44438.0</v>
      </c>
      <c r="B588" s="2">
        <v>1500618.0</v>
      </c>
      <c r="C588" s="2">
        <v>26195.0</v>
      </c>
      <c r="D588" s="2">
        <f>_xlfn.IFERROR(B588-B587,0)</f>
        <v>3357.0</v>
      </c>
      <c r="E588" s="2">
        <f>_xlfn.IFERROR(C588-C587,0)</f>
        <v>86.0</v>
      </c>
      <c r="F588" s="1">
        <f>INT((A588-DATE(2020,1,22))/7)+1</f>
        <v>84.0</v>
      </c>
      <c r="G588" s="1" t="str">
        <f>"Week_"&amp;F588</f>
        <v>Week_84</v>
      </c>
    </row>
    <row r="589" spans="8:8" ht="15.1">
      <c r="A589" s="3">
        <v>44439.0</v>
      </c>
      <c r="B589" s="2">
        <v>1503680.0</v>
      </c>
      <c r="C589" s="2">
        <v>26274.0</v>
      </c>
      <c r="D589" s="2">
        <f>_xlfn.IFERROR(B589-B588,0)</f>
        <v>3062.0</v>
      </c>
      <c r="E589" s="2">
        <f>_xlfn.IFERROR(C589-C588,0)</f>
        <v>79.0</v>
      </c>
      <c r="F589" s="1">
        <f>INT((A589-DATE(2020,1,22))/7)+1</f>
        <v>84.0</v>
      </c>
      <c r="G589" s="1" t="str">
        <f>"Week_"&amp;F589</f>
        <v>Week_84</v>
      </c>
    </row>
    <row r="590" spans="8:8" ht="15.1">
      <c r="A590" s="3">
        <v>44440.0</v>
      </c>
      <c r="B590" s="2">
        <v>1507116.0</v>
      </c>
      <c r="C590" s="2">
        <v>26362.0</v>
      </c>
      <c r="D590" s="2">
        <f>_xlfn.IFERROR(B590-B589,0)</f>
        <v>3436.0</v>
      </c>
      <c r="E590" s="2">
        <f>_xlfn.IFERROR(C590-C589,0)</f>
        <v>88.0</v>
      </c>
      <c r="F590" s="1">
        <f>INT((A590-DATE(2020,1,22))/7)+1</f>
        <v>85.0</v>
      </c>
      <c r="G590" s="1" t="str">
        <f>"Week_"&amp;F590</f>
        <v>Week_85</v>
      </c>
    </row>
    <row r="591" spans="8:8" ht="15.1">
      <c r="A591" s="3">
        <v>44441.0</v>
      </c>
      <c r="B591" s="2">
        <v>1510283.0</v>
      </c>
      <c r="C591" s="2">
        <v>26432.0</v>
      </c>
      <c r="D591" s="2">
        <f>_xlfn.IFERROR(B591-B590,0)</f>
        <v>3167.0</v>
      </c>
      <c r="E591" s="2">
        <f>_xlfn.IFERROR(C591-C590,0)</f>
        <v>70.0</v>
      </c>
      <c r="F591" s="1">
        <f>INT((A591-DATE(2020,1,22))/7)+1</f>
        <v>85.0</v>
      </c>
      <c r="G591" s="1" t="str">
        <f>"Week_"&amp;F591</f>
        <v>Week_85</v>
      </c>
    </row>
    <row r="592" spans="8:8" ht="15.1">
      <c r="A592" s="3">
        <v>44442.0</v>
      </c>
      <c r="B592" s="2">
        <v>1512026.0</v>
      </c>
      <c r="C592" s="2">
        <v>26493.0</v>
      </c>
      <c r="D592" s="2">
        <f>_xlfn.IFERROR(B592-B591,0)</f>
        <v>1743.0</v>
      </c>
      <c r="E592" s="2">
        <f>_xlfn.IFERROR(C592-C591,0)</f>
        <v>61.0</v>
      </c>
      <c r="F592" s="1">
        <f>INT((A592-DATE(2020,1,22))/7)+1</f>
        <v>85.0</v>
      </c>
      <c r="G592" s="1" t="str">
        <f>"Week_"&amp;F592</f>
        <v>Week_85</v>
      </c>
    </row>
    <row r="593" spans="8:8" ht="15.1">
      <c r="A593" s="3">
        <v>44443.0</v>
      </c>
      <c r="B593" s="2">
        <v>1514456.0</v>
      </c>
      <c r="C593" s="2">
        <v>26563.0</v>
      </c>
      <c r="D593" s="2">
        <f>_xlfn.IFERROR(B593-B592,0)</f>
        <v>2430.0</v>
      </c>
      <c r="E593" s="2">
        <f>_xlfn.IFERROR(C593-C592,0)</f>
        <v>70.0</v>
      </c>
      <c r="F593" s="1">
        <f>INT((A593-DATE(2020,1,22))/7)+1</f>
        <v>85.0</v>
      </c>
      <c r="G593" s="1" t="str">
        <f>"Week_"&amp;F593</f>
        <v>Week_85</v>
      </c>
    </row>
    <row r="594" spans="8:8" ht="15.1">
      <c r="A594" s="3">
        <v>44444.0</v>
      </c>
      <c r="B594" s="2">
        <v>1517166.0</v>
      </c>
      <c r="C594" s="2">
        <v>26628.0</v>
      </c>
      <c r="D594" s="2">
        <f>_xlfn.IFERROR(B594-B593,0)</f>
        <v>2710.0</v>
      </c>
      <c r="E594" s="2">
        <f>_xlfn.IFERROR(C594-C593,0)</f>
        <v>65.0</v>
      </c>
      <c r="F594" s="1">
        <f>INT((A594-DATE(2020,1,22))/7)+1</f>
        <v>85.0</v>
      </c>
      <c r="G594" s="1" t="str">
        <f>"Week_"&amp;F594</f>
        <v>Week_85</v>
      </c>
    </row>
    <row r="595" spans="8:8" ht="15.1">
      <c r="A595" s="3">
        <v>44445.0</v>
      </c>
      <c r="B595" s="2">
        <v>1519805.0</v>
      </c>
      <c r="C595" s="2">
        <v>26684.0</v>
      </c>
      <c r="D595" s="2">
        <f>_xlfn.IFERROR(B595-B594,0)</f>
        <v>2639.0</v>
      </c>
      <c r="E595" s="2">
        <f>_xlfn.IFERROR(C595-C594,0)</f>
        <v>56.0</v>
      </c>
      <c r="F595" s="1">
        <f>INT((A595-DATE(2020,1,22))/7)+1</f>
        <v>85.0</v>
      </c>
      <c r="G595" s="1" t="str">
        <f>"Week_"&amp;F595</f>
        <v>Week_85</v>
      </c>
    </row>
    <row r="596" spans="8:8" ht="15.1">
      <c r="A596" s="3">
        <v>44446.0</v>
      </c>
      <c r="B596" s="2">
        <v>1522302.0</v>
      </c>
      <c r="C596" s="2">
        <v>26736.0</v>
      </c>
      <c r="D596" s="2">
        <f>_xlfn.IFERROR(B596-B595,0)</f>
        <v>2497.0</v>
      </c>
      <c r="E596" s="2">
        <f>_xlfn.IFERROR(C596-C595,0)</f>
        <v>52.0</v>
      </c>
      <c r="F596" s="1">
        <f>INT((A596-DATE(2020,1,22))/7)+1</f>
        <v>85.0</v>
      </c>
      <c r="G596" s="1" t="str">
        <f>"Week_"&amp;F596</f>
        <v>Week_85</v>
      </c>
    </row>
    <row r="597" spans="8:8" ht="15.1">
      <c r="A597" s="3">
        <v>44447.0</v>
      </c>
      <c r="B597" s="2">
        <v>1524890.0</v>
      </c>
      <c r="C597" s="2">
        <v>26794.0</v>
      </c>
      <c r="D597" s="2">
        <f>_xlfn.IFERROR(B597-B596,0)</f>
        <v>2588.0</v>
      </c>
      <c r="E597" s="2">
        <f>_xlfn.IFERROR(C597-C596,0)</f>
        <v>58.0</v>
      </c>
      <c r="F597" s="1">
        <f>INT((A597-DATE(2020,1,22))/7)+1</f>
        <v>86.0</v>
      </c>
      <c r="G597" s="1" t="str">
        <f>"Week_"&amp;F597</f>
        <v>Week_86</v>
      </c>
    </row>
    <row r="598" spans="8:8" ht="15.1">
      <c r="A598" s="3">
        <v>44448.0</v>
      </c>
      <c r="B598" s="2">
        <v>1527215.0</v>
      </c>
      <c r="C598" s="2">
        <v>26832.0</v>
      </c>
      <c r="D598" s="2">
        <f>_xlfn.IFERROR(B598-B597,0)</f>
        <v>2325.0</v>
      </c>
      <c r="E598" s="2">
        <f>_xlfn.IFERROR(C598-C597,0)</f>
        <v>38.0</v>
      </c>
      <c r="F598" s="1">
        <f>INT((A598-DATE(2020,1,22))/7)+1</f>
        <v>86.0</v>
      </c>
      <c r="G598" s="1" t="str">
        <f>"Week_"&amp;F598</f>
        <v>Week_86</v>
      </c>
    </row>
    <row r="599" spans="8:8" ht="15.1">
      <c r="A599" s="3">
        <v>44449.0</v>
      </c>
      <c r="B599" s="2">
        <v>1528542.0</v>
      </c>
      <c r="C599" s="2">
        <v>26880.0</v>
      </c>
      <c r="D599" s="2">
        <f>_xlfn.IFERROR(B599-B598,0)</f>
        <v>1327.0</v>
      </c>
      <c r="E599" s="2">
        <f>_xlfn.IFERROR(C599-C598,0)</f>
        <v>48.0</v>
      </c>
      <c r="F599" s="1">
        <f>INT((A599-DATE(2020,1,22))/7)+1</f>
        <v>86.0</v>
      </c>
      <c r="G599" s="1" t="str">
        <f>"Week_"&amp;F599</f>
        <v>Week_86</v>
      </c>
    </row>
    <row r="600" spans="8:8" ht="15.1">
      <c r="A600" s="3">
        <v>44450.0</v>
      </c>
      <c r="B600" s="2">
        <v>1530413.0</v>
      </c>
      <c r="C600" s="2">
        <v>26931.0</v>
      </c>
      <c r="D600" s="2">
        <f>_xlfn.IFERROR(B600-B599,0)</f>
        <v>1871.0</v>
      </c>
      <c r="E600" s="2">
        <f>_xlfn.IFERROR(C600-C599,0)</f>
        <v>51.0</v>
      </c>
      <c r="F600" s="1">
        <f>INT((A600-DATE(2020,1,22))/7)+1</f>
        <v>86.0</v>
      </c>
      <c r="G600" s="1" t="str">
        <f>"Week_"&amp;F600</f>
        <v>Week_86</v>
      </c>
    </row>
    <row r="601" spans="8:8" ht="15.1">
      <c r="A601" s="3">
        <v>44451.0</v>
      </c>
      <c r="B601" s="2">
        <v>1532366.0</v>
      </c>
      <c r="C601" s="2">
        <v>26972.0</v>
      </c>
      <c r="D601" s="2">
        <f>_xlfn.IFERROR(B601-B600,0)</f>
        <v>1953.0</v>
      </c>
      <c r="E601" s="2">
        <f>_xlfn.IFERROR(C601-C600,0)</f>
        <v>41.0</v>
      </c>
      <c r="F601" s="1">
        <f>INT((A601-DATE(2020,1,22))/7)+1</f>
        <v>86.0</v>
      </c>
      <c r="G601" s="1" t="str">
        <f>"Week_"&amp;F601</f>
        <v>Week_86</v>
      </c>
    </row>
    <row r="602" spans="8:8" ht="15.1">
      <c r="A602" s="3">
        <v>44452.0</v>
      </c>
      <c r="B602" s="2">
        <v>1534440.0</v>
      </c>
      <c r="C602" s="2">
        <v>27007.0</v>
      </c>
      <c r="D602" s="2">
        <f>_xlfn.IFERROR(B602-B601,0)</f>
        <v>2074.0</v>
      </c>
      <c r="E602" s="2">
        <f>_xlfn.IFERROR(C602-C601,0)</f>
        <v>35.0</v>
      </c>
      <c r="F602" s="1">
        <f>INT((A602-DATE(2020,1,22))/7)+1</f>
        <v>86.0</v>
      </c>
      <c r="G602" s="1" t="str">
        <f>"Week_"&amp;F602</f>
        <v>Week_86</v>
      </c>
    </row>
    <row r="603" spans="8:8" ht="15.1">
      <c r="A603" s="3">
        <v>44453.0</v>
      </c>
      <c r="B603" s="2">
        <v>1536341.0</v>
      </c>
      <c r="C603" s="2">
        <v>27058.0</v>
      </c>
      <c r="D603" s="2">
        <f>_xlfn.IFERROR(B603-B602,0)</f>
        <v>1901.0</v>
      </c>
      <c r="E603" s="2">
        <f>_xlfn.IFERROR(C603-C602,0)</f>
        <v>51.0</v>
      </c>
      <c r="F603" s="1">
        <f>INT((A603-DATE(2020,1,22))/7)+1</f>
        <v>86.0</v>
      </c>
      <c r="G603" s="1" t="str">
        <f>"Week_"&amp;F603</f>
        <v>Week_86</v>
      </c>
    </row>
    <row r="604" spans="8:8" ht="15.1">
      <c r="A604" s="3">
        <v>44454.0</v>
      </c>
      <c r="B604" s="2">
        <v>1538203.0</v>
      </c>
      <c r="C604" s="2">
        <v>27109.0</v>
      </c>
      <c r="D604" s="2">
        <f>_xlfn.IFERROR(B604-B603,0)</f>
        <v>1862.0</v>
      </c>
      <c r="E604" s="2">
        <f>_xlfn.IFERROR(C604-C603,0)</f>
        <v>51.0</v>
      </c>
      <c r="F604" s="1">
        <f>INT((A604-DATE(2020,1,22))/7)+1</f>
        <v>87.0</v>
      </c>
      <c r="G604" s="1" t="str">
        <f>"Week_"&amp;F604</f>
        <v>Week_87</v>
      </c>
    </row>
    <row r="605" spans="8:8" ht="15.1">
      <c r="A605" s="3">
        <v>44455.0</v>
      </c>
      <c r="B605" s="2">
        <v>1540110.0</v>
      </c>
      <c r="C605" s="2">
        <v>27147.0</v>
      </c>
      <c r="D605" s="2">
        <f>_xlfn.IFERROR(B605-B604,0)</f>
        <v>1907.0</v>
      </c>
      <c r="E605" s="2">
        <f>_xlfn.IFERROR(C605-C604,0)</f>
        <v>38.0</v>
      </c>
      <c r="F605" s="1">
        <f>INT((A605-DATE(2020,1,22))/7)+1</f>
        <v>87.0</v>
      </c>
      <c r="G605" s="1" t="str">
        <f>"Week_"&amp;F605</f>
        <v>Week_87</v>
      </c>
    </row>
    <row r="606" spans="8:8" ht="15.1">
      <c r="A606" s="3">
        <v>44456.0</v>
      </c>
      <c r="B606" s="2">
        <v>1541300.0</v>
      </c>
      <c r="C606" s="2">
        <v>27182.0</v>
      </c>
      <c r="D606" s="2">
        <f>_xlfn.IFERROR(B606-B605,0)</f>
        <v>1190.0</v>
      </c>
      <c r="E606" s="2">
        <f>_xlfn.IFERROR(C606-C605,0)</f>
        <v>35.0</v>
      </c>
      <c r="F606" s="1">
        <f>INT((A606-DATE(2020,1,22))/7)+1</f>
        <v>87.0</v>
      </c>
      <c r="G606" s="1" t="str">
        <f>"Week_"&amp;F606</f>
        <v>Week_87</v>
      </c>
    </row>
    <row r="607" spans="8:8" ht="15.1">
      <c r="A607" s="3">
        <v>44457.0</v>
      </c>
      <c r="B607" s="2">
        <v>1542683.0</v>
      </c>
      <c r="C607" s="2">
        <v>27225.0</v>
      </c>
      <c r="D607" s="2">
        <f>_xlfn.IFERROR(B607-B606,0)</f>
        <v>1383.0</v>
      </c>
      <c r="E607" s="2">
        <f>_xlfn.IFERROR(C607-C606,0)</f>
        <v>43.0</v>
      </c>
      <c r="F607" s="1">
        <f>INT((A607-DATE(2020,1,22))/7)+1</f>
        <v>87.0</v>
      </c>
      <c r="G607" s="1" t="str">
        <f>"Week_"&amp;F607</f>
        <v>Week_87</v>
      </c>
    </row>
    <row r="608" spans="8:8" ht="15.1">
      <c r="A608" s="3">
        <v>44458.0</v>
      </c>
      <c r="B608" s="2">
        <v>1544238.0</v>
      </c>
      <c r="C608" s="2">
        <v>27251.0</v>
      </c>
      <c r="D608" s="2">
        <f>_xlfn.IFERROR(B608-B607,0)</f>
        <v>1555.0</v>
      </c>
      <c r="E608" s="2">
        <f>_xlfn.IFERROR(C608-C607,0)</f>
        <v>26.0</v>
      </c>
      <c r="F608" s="1">
        <f>INT((A608-DATE(2020,1,22))/7)+1</f>
        <v>87.0</v>
      </c>
      <c r="G608" s="1" t="str">
        <f>"Week_"&amp;F608</f>
        <v>Week_87</v>
      </c>
    </row>
    <row r="609" spans="8:8" ht="15.1">
      <c r="A609" s="3">
        <v>44459.0</v>
      </c>
      <c r="B609" s="2">
        <v>1545800.0</v>
      </c>
      <c r="C609" s="2">
        <v>27277.0</v>
      </c>
      <c r="D609" s="2">
        <f>_xlfn.IFERROR(B609-B608,0)</f>
        <v>1562.0</v>
      </c>
      <c r="E609" s="2">
        <f>_xlfn.IFERROR(C609-C608,0)</f>
        <v>26.0</v>
      </c>
      <c r="F609" s="1">
        <f>INT((A609-DATE(2020,1,22))/7)+1</f>
        <v>87.0</v>
      </c>
      <c r="G609" s="1" t="str">
        <f>"Week_"&amp;F609</f>
        <v>Week_87</v>
      </c>
    </row>
    <row r="610" spans="8:8" ht="15.1">
      <c r="A610" s="3">
        <v>44460.0</v>
      </c>
      <c r="B610" s="2">
        <v>1547176.0</v>
      </c>
      <c r="C610" s="2">
        <v>27313.0</v>
      </c>
      <c r="D610" s="2">
        <f>_xlfn.IFERROR(B610-B609,0)</f>
        <v>1376.0</v>
      </c>
      <c r="E610" s="2">
        <f>_xlfn.IFERROR(C610-C609,0)</f>
        <v>36.0</v>
      </c>
      <c r="F610" s="1">
        <f>INT((A610-DATE(2020,1,22))/7)+1</f>
        <v>87.0</v>
      </c>
      <c r="G610" s="1" t="str">
        <f>"Week_"&amp;F610</f>
        <v>Week_87</v>
      </c>
    </row>
    <row r="611" spans="8:8" ht="15.1">
      <c r="A611" s="3">
        <v>44461.0</v>
      </c>
      <c r="B611" s="2">
        <v>1548320.0</v>
      </c>
      <c r="C611" s="2">
        <v>27337.0</v>
      </c>
      <c r="D611" s="2">
        <f>_xlfn.IFERROR(B611-B610,0)</f>
        <v>1144.0</v>
      </c>
      <c r="E611" s="2">
        <f>_xlfn.IFERROR(C611-C610,0)</f>
        <v>24.0</v>
      </c>
      <c r="F611" s="1">
        <f>INT((A611-DATE(2020,1,22))/7)+1</f>
        <v>88.0</v>
      </c>
      <c r="G611" s="1" t="str">
        <f>"Week_"&amp;F611</f>
        <v>Week_88</v>
      </c>
    </row>
    <row r="612" spans="8:8" ht="15.1">
      <c r="A612" s="3">
        <v>44462.0</v>
      </c>
      <c r="B612" s="2">
        <v>1549553.0</v>
      </c>
      <c r="C612" s="2">
        <v>27368.0</v>
      </c>
      <c r="D612" s="2">
        <f>_xlfn.IFERROR(B612-B611,0)</f>
        <v>1233.0</v>
      </c>
      <c r="E612" s="2">
        <f>_xlfn.IFERROR(C612-C611,0)</f>
        <v>31.0</v>
      </c>
      <c r="F612" s="1">
        <f>INT((A612-DATE(2020,1,22))/7)+1</f>
        <v>88.0</v>
      </c>
      <c r="G612" s="1" t="str">
        <f>"Week_"&amp;F612</f>
        <v>Week_88</v>
      </c>
    </row>
    <row r="613" spans="8:8" ht="15.1">
      <c r="A613" s="3">
        <v>44463.0</v>
      </c>
      <c r="B613" s="2">
        <v>1550371.0</v>
      </c>
      <c r="C613" s="2">
        <v>27393.0</v>
      </c>
      <c r="D613" s="2">
        <f>_xlfn.IFERROR(B613-B612,0)</f>
        <v>818.0</v>
      </c>
      <c r="E613" s="2">
        <f>_xlfn.IFERROR(C613-C612,0)</f>
        <v>25.0</v>
      </c>
      <c r="F613" s="1">
        <f>INT((A613-DATE(2020,1,22))/7)+1</f>
        <v>88.0</v>
      </c>
      <c r="G613" s="1" t="str">
        <f>"Week_"&amp;F613</f>
        <v>Week_88</v>
      </c>
    </row>
    <row r="614" spans="8:8" ht="15.1">
      <c r="A614" s="3">
        <v>44464.0</v>
      </c>
      <c r="B614" s="2">
        <v>1551351.0</v>
      </c>
      <c r="C614" s="2">
        <v>27414.0</v>
      </c>
      <c r="D614" s="2">
        <f>_xlfn.IFERROR(B614-B613,0)</f>
        <v>980.0</v>
      </c>
      <c r="E614" s="2">
        <f>_xlfn.IFERROR(C614-C613,0)</f>
        <v>21.0</v>
      </c>
      <c r="F614" s="1">
        <f>INT((A614-DATE(2020,1,22))/7)+1</f>
        <v>88.0</v>
      </c>
      <c r="G614" s="1" t="str">
        <f>"Week_"&amp;F614</f>
        <v>Week_88</v>
      </c>
    </row>
    <row r="615" spans="8:8" ht="15.1">
      <c r="A615" s="3">
        <v>44465.0</v>
      </c>
      <c r="B615" s="2">
        <v>1552563.0</v>
      </c>
      <c r="C615" s="2">
        <v>27439.0</v>
      </c>
      <c r="D615" s="2">
        <f>_xlfn.IFERROR(B615-B614,0)</f>
        <v>1212.0</v>
      </c>
      <c r="E615" s="2">
        <f>_xlfn.IFERROR(C615-C614,0)</f>
        <v>25.0</v>
      </c>
      <c r="F615" s="1">
        <f>INT((A615-DATE(2020,1,22))/7)+1</f>
        <v>88.0</v>
      </c>
      <c r="G615" s="1" t="str">
        <f>"Week_"&amp;F615</f>
        <v>Week_88</v>
      </c>
    </row>
    <row r="616" spans="8:8" ht="15.1">
      <c r="A616" s="3">
        <v>44466.0</v>
      </c>
      <c r="B616" s="2">
        <v>1553873.0</v>
      </c>
      <c r="C616" s="2">
        <v>27470.0</v>
      </c>
      <c r="D616" s="2">
        <f>_xlfn.IFERROR(B616-B615,0)</f>
        <v>1310.0</v>
      </c>
      <c r="E616" s="2">
        <f>_xlfn.IFERROR(C616-C615,0)</f>
        <v>31.0</v>
      </c>
      <c r="F616" s="1">
        <f>INT((A616-DATE(2020,1,22))/7)+1</f>
        <v>88.0</v>
      </c>
      <c r="G616" s="1" t="str">
        <f>"Week_"&amp;F616</f>
        <v>Week_88</v>
      </c>
    </row>
    <row r="617" spans="8:8" ht="15.1">
      <c r="A617" s="3">
        <v>44467.0</v>
      </c>
      <c r="B617" s="2">
        <v>1555051.0</v>
      </c>
      <c r="C617" s="2">
        <v>27487.0</v>
      </c>
      <c r="D617" s="2">
        <f>_xlfn.IFERROR(B617-B616,0)</f>
        <v>1178.0</v>
      </c>
      <c r="E617" s="2">
        <f>_xlfn.IFERROR(C617-C616,0)</f>
        <v>17.0</v>
      </c>
      <c r="F617" s="1">
        <f>INT((A617-DATE(2020,1,22))/7)+1</f>
        <v>88.0</v>
      </c>
      <c r="G617" s="1" t="str">
        <f>"Week_"&amp;F617</f>
        <v>Week_88</v>
      </c>
    </row>
    <row r="618" spans="8:8" ht="15.1">
      <c r="A618" s="3">
        <v>44468.0</v>
      </c>
      <c r="B618" s="2">
        <v>1555911.0</v>
      </c>
      <c r="C618" s="2">
        <v>27510.0</v>
      </c>
      <c r="D618" s="2">
        <f>_xlfn.IFERROR(B618-B617,0)</f>
        <v>860.0</v>
      </c>
      <c r="E618" s="2">
        <f>_xlfn.IFERROR(C618-C617,0)</f>
        <v>23.0</v>
      </c>
      <c r="F618" s="1">
        <f>INT((A618-DATE(2020,1,22))/7)+1</f>
        <v>89.0</v>
      </c>
      <c r="G618" s="1" t="str">
        <f>"Week_"&amp;F618</f>
        <v>Week_89</v>
      </c>
    </row>
    <row r="619" spans="8:8" ht="15.1">
      <c r="A619" s="3">
        <v>44469.0</v>
      </c>
      <c r="B619" s="2">
        <v>1556758.0</v>
      </c>
      <c r="C619" s="2">
        <v>27531.0</v>
      </c>
      <c r="D619" s="2">
        <f>_xlfn.IFERROR(B619-B618,0)</f>
        <v>847.0</v>
      </c>
      <c r="E619" s="2">
        <f>_xlfn.IFERROR(C619-C618,0)</f>
        <v>21.0</v>
      </c>
      <c r="F619" s="1">
        <f>INT((A619-DATE(2020,1,22))/7)+1</f>
        <v>89.0</v>
      </c>
      <c r="G619" s="1" t="str">
        <f>"Week_"&amp;F619</f>
        <v>Week_89</v>
      </c>
    </row>
    <row r="620" spans="8:8" ht="15.1">
      <c r="A620" s="3">
        <v>44470.0</v>
      </c>
      <c r="B620" s="2">
        <v>1557347.0</v>
      </c>
      <c r="C620" s="2">
        <v>27555.0</v>
      </c>
      <c r="D620" s="2">
        <f>_xlfn.IFERROR(B620-B619,0)</f>
        <v>589.0</v>
      </c>
      <c r="E620" s="2">
        <f>_xlfn.IFERROR(C620-C619,0)</f>
        <v>24.0</v>
      </c>
      <c r="F620" s="1">
        <f>INT((A620-DATE(2020,1,22))/7)+1</f>
        <v>89.0</v>
      </c>
      <c r="G620" s="1" t="str">
        <f>"Week_"&amp;F620</f>
        <v>Week_89</v>
      </c>
    </row>
    <row r="621" spans="8:8" ht="15.1">
      <c r="A621" s="3">
        <v>44471.0</v>
      </c>
      <c r="B621" s="2">
        <v>1557964.0</v>
      </c>
      <c r="C621" s="2">
        <v>27573.0</v>
      </c>
      <c r="D621" s="2">
        <f>_xlfn.IFERROR(B621-B620,0)</f>
        <v>617.0</v>
      </c>
      <c r="E621" s="2">
        <f>_xlfn.IFERROR(C621-C620,0)</f>
        <v>18.0</v>
      </c>
      <c r="F621" s="1">
        <f>INT((A621-DATE(2020,1,22))/7)+1</f>
        <v>89.0</v>
      </c>
      <c r="G621" s="1" t="str">
        <f>"Week_"&amp;F621</f>
        <v>Week_89</v>
      </c>
    </row>
    <row r="622" spans="8:8" ht="15.1">
      <c r="A622" s="3">
        <v>44472.0</v>
      </c>
      <c r="B622" s="2">
        <v>1558758.0</v>
      </c>
      <c r="C622" s="2">
        <v>27591.0</v>
      </c>
      <c r="D622" s="2">
        <f>_xlfn.IFERROR(B622-B621,0)</f>
        <v>794.0</v>
      </c>
      <c r="E622" s="2">
        <f>_xlfn.IFERROR(C622-C621,0)</f>
        <v>18.0</v>
      </c>
      <c r="F622" s="1">
        <f>INT((A622-DATE(2020,1,22))/7)+1</f>
        <v>89.0</v>
      </c>
      <c r="G622" s="1" t="str">
        <f>"Week_"&amp;F622</f>
        <v>Week_89</v>
      </c>
    </row>
    <row r="623" spans="8:8" ht="15.1">
      <c r="A623" s="3">
        <v>44473.0</v>
      </c>
      <c r="B623" s="2">
        <v>1559452.0</v>
      </c>
      <c r="C623" s="2">
        <v>27614.0</v>
      </c>
      <c r="D623" s="2">
        <f>_xlfn.IFERROR(B623-B622,0)</f>
        <v>694.0</v>
      </c>
      <c r="E623" s="2">
        <f>_xlfn.IFERROR(C623-C622,0)</f>
        <v>23.0</v>
      </c>
      <c r="F623" s="1">
        <f>INT((A623-DATE(2020,1,22))/7)+1</f>
        <v>89.0</v>
      </c>
      <c r="G623" s="1" t="str">
        <f>"Week_"&amp;F623</f>
        <v>Week_89</v>
      </c>
    </row>
    <row r="624" spans="8:8" ht="15.1">
      <c r="A624" s="3">
        <v>44474.0</v>
      </c>
      <c r="B624" s="2">
        <v>1560155.0</v>
      </c>
      <c r="C624" s="2">
        <v>27635.0</v>
      </c>
      <c r="D624" s="2">
        <f>_xlfn.IFERROR(B624-B623,0)</f>
        <v>703.0</v>
      </c>
      <c r="E624" s="2">
        <f>_xlfn.IFERROR(C624-C623,0)</f>
        <v>21.0</v>
      </c>
      <c r="F624" s="1">
        <f>INT((A624-DATE(2020,1,22))/7)+1</f>
        <v>89.0</v>
      </c>
      <c r="G624" s="1" t="str">
        <f>"Week_"&amp;F624</f>
        <v>Week_89</v>
      </c>
    </row>
    <row r="625" spans="8:8" ht="15.1">
      <c r="A625" s="3">
        <v>44475.0</v>
      </c>
      <c r="B625" s="2">
        <v>1560818.0</v>
      </c>
      <c r="C625" s="2">
        <v>27647.0</v>
      </c>
      <c r="D625" s="2">
        <f>_xlfn.IFERROR(B625-B624,0)</f>
        <v>663.0</v>
      </c>
      <c r="E625" s="2">
        <f>_xlfn.IFERROR(C625-C624,0)</f>
        <v>12.0</v>
      </c>
      <c r="F625" s="1">
        <f>INT((A625-DATE(2020,1,22))/7)+1</f>
        <v>90.0</v>
      </c>
      <c r="G625" s="1" t="str">
        <f>"Week_"&amp;F625</f>
        <v>Week_90</v>
      </c>
    </row>
    <row r="626" spans="8:8" ht="15.1">
      <c r="A626" s="3">
        <v>44476.0</v>
      </c>
      <c r="B626" s="2">
        <v>1561463.0</v>
      </c>
      <c r="C626" s="2">
        <v>27654.0</v>
      </c>
      <c r="D626" s="2">
        <f>_xlfn.IFERROR(B626-B625,0)</f>
        <v>645.0</v>
      </c>
      <c r="E626" s="2">
        <f>_xlfn.IFERROR(C626-C625,0)</f>
        <v>7.0</v>
      </c>
      <c r="F626" s="1">
        <f>INT((A626-DATE(2020,1,22))/7)+1</f>
        <v>90.0</v>
      </c>
      <c r="G626" s="1" t="str">
        <f>"Week_"&amp;F626</f>
        <v>Week_90</v>
      </c>
    </row>
    <row r="627" spans="8:8" ht="15.1">
      <c r="A627" s="3">
        <v>44477.0</v>
      </c>
      <c r="B627" s="2">
        <v>1561878.0</v>
      </c>
      <c r="C627" s="2">
        <v>27674.0</v>
      </c>
      <c r="D627" s="2">
        <f>_xlfn.IFERROR(B627-B626,0)</f>
        <v>415.0</v>
      </c>
      <c r="E627" s="2">
        <f>_xlfn.IFERROR(C627-C626,0)</f>
        <v>20.0</v>
      </c>
      <c r="F627" s="1">
        <f>INT((A627-DATE(2020,1,22))/7)+1</f>
        <v>90.0</v>
      </c>
      <c r="G627" s="1" t="str">
        <f>"Week_"&amp;F627</f>
        <v>Week_90</v>
      </c>
    </row>
    <row r="628" spans="8:8" ht="15.1">
      <c r="A628" s="3">
        <v>44478.0</v>
      </c>
      <c r="B628" s="2">
        <v>1562359.0</v>
      </c>
      <c r="C628" s="2">
        <v>27688.0</v>
      </c>
      <c r="D628" s="2">
        <f>_xlfn.IFERROR(B628-B627,0)</f>
        <v>481.0</v>
      </c>
      <c r="E628" s="2">
        <f>_xlfn.IFERROR(C628-C627,0)</f>
        <v>14.0</v>
      </c>
      <c r="F628" s="1">
        <f>INT((A628-DATE(2020,1,22))/7)+1</f>
        <v>90.0</v>
      </c>
      <c r="G628" s="1" t="str">
        <f>"Week_"&amp;F628</f>
        <v>Week_90</v>
      </c>
    </row>
    <row r="629" spans="8:8" ht="15.1">
      <c r="A629" s="3">
        <v>44479.0</v>
      </c>
      <c r="B629" s="2">
        <v>1562958.0</v>
      </c>
      <c r="C629" s="2">
        <v>27699.0</v>
      </c>
      <c r="D629" s="2">
        <f>_xlfn.IFERROR(B629-B628,0)</f>
        <v>599.0</v>
      </c>
      <c r="E629" s="2">
        <f>_xlfn.IFERROR(C629-C628,0)</f>
        <v>11.0</v>
      </c>
      <c r="F629" s="1">
        <f>INT((A629-DATE(2020,1,22))/7)+1</f>
        <v>90.0</v>
      </c>
      <c r="G629" s="1" t="str">
        <f>"Week_"&amp;F629</f>
        <v>Week_90</v>
      </c>
    </row>
    <row r="630" spans="8:8" ht="15.1">
      <c r="A630" s="3">
        <v>44480.0</v>
      </c>
      <c r="B630" s="2">
        <v>1563501.0</v>
      </c>
      <c r="C630" s="2">
        <v>27713.0</v>
      </c>
      <c r="D630" s="2">
        <f>_xlfn.IFERROR(B630-B629,0)</f>
        <v>543.0</v>
      </c>
      <c r="E630" s="2">
        <f>_xlfn.IFERROR(C630-C629,0)</f>
        <v>14.0</v>
      </c>
      <c r="F630" s="1">
        <f>INT((A630-DATE(2020,1,22))/7)+1</f>
        <v>90.0</v>
      </c>
      <c r="G630" s="1" t="str">
        <f>"Week_"&amp;F630</f>
        <v>Week_90</v>
      </c>
    </row>
    <row r="631" spans="8:8" ht="15.1">
      <c r="A631" s="3">
        <v>44481.0</v>
      </c>
      <c r="B631" s="2">
        <v>1564019.0</v>
      </c>
      <c r="C631" s="2">
        <v>27730.0</v>
      </c>
      <c r="D631" s="2">
        <f>_xlfn.IFERROR(B631-B630,0)</f>
        <v>518.0</v>
      </c>
      <c r="E631" s="2">
        <f>_xlfn.IFERROR(C631-C630,0)</f>
        <v>17.0</v>
      </c>
      <c r="F631" s="1">
        <f>INT((A631-DATE(2020,1,22))/7)+1</f>
        <v>90.0</v>
      </c>
      <c r="G631" s="1" t="str">
        <f>"Week_"&amp;F631</f>
        <v>Week_90</v>
      </c>
    </row>
    <row r="632" spans="8:8" ht="15.1">
      <c r="A632" s="3">
        <v>44482.0</v>
      </c>
      <c r="B632" s="2">
        <v>1564485.0</v>
      </c>
      <c r="C632" s="2">
        <v>27737.0</v>
      </c>
      <c r="D632" s="2">
        <f>_xlfn.IFERROR(B632-B631,0)</f>
        <v>466.0</v>
      </c>
      <c r="E632" s="2">
        <f>_xlfn.IFERROR(C632-C631,0)</f>
        <v>7.0</v>
      </c>
      <c r="F632" s="1">
        <f>INT((A632-DATE(2020,1,22))/7)+1</f>
        <v>91.0</v>
      </c>
      <c r="G632" s="1" t="str">
        <f>"Week_"&amp;F632</f>
        <v>Week_91</v>
      </c>
    </row>
    <row r="633" spans="8:8" ht="15.1">
      <c r="A633" s="3">
        <v>44483.0</v>
      </c>
      <c r="B633" s="2">
        <v>1564881.0</v>
      </c>
      <c r="C633" s="2">
        <v>27746.0</v>
      </c>
      <c r="D633" s="2">
        <f>_xlfn.IFERROR(B633-B632,0)</f>
        <v>396.0</v>
      </c>
      <c r="E633" s="2">
        <f>_xlfn.IFERROR(C633-C632,0)</f>
        <v>9.0</v>
      </c>
      <c r="F633" s="1">
        <f>INT((A633-DATE(2020,1,22))/7)+1</f>
        <v>91.0</v>
      </c>
      <c r="G633" s="1" t="str">
        <f>"Week_"&amp;F633</f>
        <v>Week_91</v>
      </c>
    </row>
    <row r="634" spans="8:8" ht="15.1">
      <c r="A634" s="3">
        <v>44484.0</v>
      </c>
      <c r="B634" s="2">
        <v>1565174.0</v>
      </c>
      <c r="C634" s="2">
        <v>27752.0</v>
      </c>
      <c r="D634" s="2">
        <f>_xlfn.IFERROR(B634-B633,0)</f>
        <v>293.0</v>
      </c>
      <c r="E634" s="2">
        <f>_xlfn.IFERROR(C634-C633,0)</f>
        <v>6.0</v>
      </c>
      <c r="F634" s="1">
        <f>INT((A634-DATE(2020,1,22))/7)+1</f>
        <v>91.0</v>
      </c>
      <c r="G634" s="1" t="str">
        <f>"Week_"&amp;F634</f>
        <v>Week_91</v>
      </c>
    </row>
    <row r="635" spans="8:8" ht="15.1">
      <c r="A635" s="3">
        <v>44485.0</v>
      </c>
      <c r="B635" s="2">
        <v>1565488.0</v>
      </c>
      <c r="C635" s="2">
        <v>27768.0</v>
      </c>
      <c r="D635" s="2">
        <f>_xlfn.IFERROR(B635-B634,0)</f>
        <v>314.0</v>
      </c>
      <c r="E635" s="2">
        <f>_xlfn.IFERROR(C635-C634,0)</f>
        <v>16.0</v>
      </c>
      <c r="F635" s="1">
        <f>INT((A635-DATE(2020,1,22))/7)+1</f>
        <v>91.0</v>
      </c>
      <c r="G635" s="1" t="str">
        <f>"Week_"&amp;F635</f>
        <v>Week_91</v>
      </c>
    </row>
    <row r="636" spans="8:8" ht="15.1">
      <c r="A636" s="3">
        <v>44486.0</v>
      </c>
      <c r="B636" s="2">
        <v>1565827.0</v>
      </c>
      <c r="C636" s="2">
        <v>27778.0</v>
      </c>
      <c r="D636" s="2">
        <f>_xlfn.IFERROR(B636-B635,0)</f>
        <v>339.0</v>
      </c>
      <c r="E636" s="2">
        <f>_xlfn.IFERROR(C636-C635,0)</f>
        <v>10.0</v>
      </c>
      <c r="F636" s="1">
        <f>INT((A636-DATE(2020,1,22))/7)+1</f>
        <v>91.0</v>
      </c>
      <c r="G636" s="1" t="str">
        <f>"Week_"&amp;F636</f>
        <v>Week_91</v>
      </c>
    </row>
    <row r="637" spans="8:8" ht="15.1">
      <c r="A637" s="3">
        <v>44487.0</v>
      </c>
      <c r="B637" s="2">
        <v>1566296.0</v>
      </c>
      <c r="C637" s="2">
        <v>27785.0</v>
      </c>
      <c r="D637" s="2">
        <f>_xlfn.IFERROR(B637-B636,0)</f>
        <v>469.0</v>
      </c>
      <c r="E637" s="2">
        <f>_xlfn.IFERROR(C637-C636,0)</f>
        <v>7.0</v>
      </c>
      <c r="F637" s="1">
        <f>INT((A637-DATE(2020,1,22))/7)+1</f>
        <v>91.0</v>
      </c>
      <c r="G637" s="1" t="str">
        <f>"Week_"&amp;F637</f>
        <v>Week_91</v>
      </c>
    </row>
    <row r="638" spans="8:8" ht="15.1">
      <c r="A638" s="3">
        <v>44488.0</v>
      </c>
      <c r="B638" s="2">
        <v>1566664.0</v>
      </c>
      <c r="C638" s="2">
        <v>27791.0</v>
      </c>
      <c r="D638" s="2">
        <f>_xlfn.IFERROR(B638-B637,0)</f>
        <v>368.0</v>
      </c>
      <c r="E638" s="2">
        <f>_xlfn.IFERROR(C638-C637,0)</f>
        <v>6.0</v>
      </c>
      <c r="F638" s="1">
        <f>INT((A638-DATE(2020,1,22))/7)+1</f>
        <v>91.0</v>
      </c>
      <c r="G638" s="1" t="str">
        <f>"Week_"&amp;F638</f>
        <v>Week_91</v>
      </c>
    </row>
    <row r="639" spans="8:8" ht="15.1">
      <c r="A639" s="3">
        <v>44489.0</v>
      </c>
      <c r="B639" s="2">
        <v>1566907.0</v>
      </c>
      <c r="C639" s="2">
        <v>27801.0</v>
      </c>
      <c r="D639" s="2">
        <f>_xlfn.IFERROR(B639-B638,0)</f>
        <v>243.0</v>
      </c>
      <c r="E639" s="2">
        <f>_xlfn.IFERROR(C639-C638,0)</f>
        <v>10.0</v>
      </c>
      <c r="F639" s="1">
        <f>INT((A639-DATE(2020,1,22))/7)+1</f>
        <v>92.0</v>
      </c>
      <c r="G639" s="1" t="str">
        <f>"Week_"&amp;F639</f>
        <v>Week_92</v>
      </c>
    </row>
    <row r="640" spans="8:8" ht="15.1">
      <c r="A640" s="3">
        <v>44490.0</v>
      </c>
      <c r="B640" s="2">
        <v>1567139.0</v>
      </c>
      <c r="C640" s="2">
        <v>27805.0</v>
      </c>
      <c r="D640" s="2">
        <f>_xlfn.IFERROR(B640-B639,0)</f>
        <v>232.0</v>
      </c>
      <c r="E640" s="2">
        <f>_xlfn.IFERROR(C640-C639,0)</f>
        <v>4.0</v>
      </c>
      <c r="F640" s="1">
        <f>INT((A640-DATE(2020,1,22))/7)+1</f>
        <v>92.0</v>
      </c>
      <c r="G640" s="1" t="str">
        <f>"Week_"&amp;F640</f>
        <v>Week_92</v>
      </c>
    </row>
    <row r="641" spans="8:8" ht="15.1">
      <c r="A641" s="3">
        <v>44491.0</v>
      </c>
      <c r="B641" s="2">
        <v>1567417.0</v>
      </c>
      <c r="C641" s="2">
        <v>27814.0</v>
      </c>
      <c r="D641" s="2">
        <f>_xlfn.IFERROR(B641-B640,0)</f>
        <v>278.0</v>
      </c>
      <c r="E641" s="2">
        <f>_xlfn.IFERROR(C641-C640,0)</f>
        <v>9.0</v>
      </c>
      <c r="F641" s="1">
        <f>INT((A641-DATE(2020,1,22))/7)+1</f>
        <v>92.0</v>
      </c>
      <c r="G641" s="1" t="str">
        <f>"Week_"&amp;F641</f>
        <v>Week_92</v>
      </c>
    </row>
    <row r="642" spans="8:8" ht="15.1">
      <c r="A642" s="3">
        <v>44492.0</v>
      </c>
      <c r="B642" s="2">
        <v>1567692.0</v>
      </c>
      <c r="C642" s="2">
        <v>27823.0</v>
      </c>
      <c r="D642" s="2">
        <f>_xlfn.IFERROR(B642-B641,0)</f>
        <v>275.0</v>
      </c>
      <c r="E642" s="2">
        <f>_xlfn.IFERROR(C642-C641,0)</f>
        <v>9.0</v>
      </c>
      <c r="F642" s="1">
        <f>INT((A642-DATE(2020,1,22))/7)+1</f>
        <v>92.0</v>
      </c>
      <c r="G642" s="1" t="str">
        <f>"Week_"&amp;F642</f>
        <v>Week_92</v>
      </c>
    </row>
    <row r="643" spans="8:8" ht="15.1">
      <c r="A643" s="3">
        <v>44493.0</v>
      </c>
      <c r="B643" s="2">
        <v>1567981.0</v>
      </c>
      <c r="C643" s="2">
        <v>27828.0</v>
      </c>
      <c r="D643" s="2">
        <f>_xlfn.IFERROR(B643-B642,0)</f>
        <v>289.0</v>
      </c>
      <c r="E643" s="2">
        <f>_xlfn.IFERROR(C643-C642,0)</f>
        <v>5.0</v>
      </c>
      <c r="F643" s="1">
        <f>INT((A643-DATE(2020,1,22))/7)+1</f>
        <v>92.0</v>
      </c>
      <c r="G643" s="1" t="str">
        <f>"Week_"&amp;F643</f>
        <v>Week_92</v>
      </c>
    </row>
    <row r="644" spans="8:8" ht="15.1">
      <c r="A644" s="3">
        <v>44494.0</v>
      </c>
      <c r="B644" s="2">
        <v>1568257.0</v>
      </c>
      <c r="C644" s="2">
        <v>27834.0</v>
      </c>
      <c r="D644" s="2">
        <f>_xlfn.IFERROR(B644-B643,0)</f>
        <v>276.0</v>
      </c>
      <c r="E644" s="2">
        <f>_xlfn.IFERROR(C644-C643,0)</f>
        <v>6.0</v>
      </c>
      <c r="F644" s="1">
        <f>INT((A644-DATE(2020,1,22))/7)+1</f>
        <v>92.0</v>
      </c>
      <c r="G644" s="1" t="str">
        <f>"Week_"&amp;F644</f>
        <v>Week_92</v>
      </c>
    </row>
    <row r="645" spans="8:8" ht="15.1">
      <c r="A645" s="3">
        <v>44495.0</v>
      </c>
      <c r="B645" s="2">
        <v>1568563.0</v>
      </c>
      <c r="C645" s="2">
        <v>27841.0</v>
      </c>
      <c r="D645" s="2">
        <f>_xlfn.IFERROR(B645-B644,0)</f>
        <v>306.0</v>
      </c>
      <c r="E645" s="2">
        <f>_xlfn.IFERROR(C645-C644,0)</f>
        <v>7.0</v>
      </c>
      <c r="F645" s="1">
        <f>INT((A645-DATE(2020,1,22))/7)+1</f>
        <v>92.0</v>
      </c>
      <c r="G645" s="1" t="str">
        <f>"Week_"&amp;F645</f>
        <v>Week_92</v>
      </c>
    </row>
    <row r="646" spans="8:8" ht="15.1">
      <c r="A646" s="3">
        <v>44496.0</v>
      </c>
      <c r="B646" s="2">
        <v>1568857.0</v>
      </c>
      <c r="C646" s="2">
        <v>27847.0</v>
      </c>
      <c r="D646" s="2">
        <f>_xlfn.IFERROR(B646-B645,0)</f>
        <v>294.0</v>
      </c>
      <c r="E646" s="2">
        <f>_xlfn.IFERROR(C646-C645,0)</f>
        <v>6.0</v>
      </c>
      <c r="F646" s="1">
        <f>INT((A646-DATE(2020,1,22))/7)+1</f>
        <v>93.0</v>
      </c>
      <c r="G646" s="1" t="str">
        <f>"Week_"&amp;F646</f>
        <v>Week_93</v>
      </c>
    </row>
    <row r="647" spans="8:8" ht="15.1">
      <c r="A647" s="3">
        <v>44497.0</v>
      </c>
      <c r="B647" s="2">
        <v>1569162.0</v>
      </c>
      <c r="C647" s="2">
        <v>27854.0</v>
      </c>
      <c r="D647" s="2">
        <f>_xlfn.IFERROR(B647-B646,0)</f>
        <v>305.0</v>
      </c>
      <c r="E647" s="2">
        <f>_xlfn.IFERROR(C647-C646,0)</f>
        <v>7.0</v>
      </c>
      <c r="F647" s="1">
        <f>INT((A647-DATE(2020,1,22))/7)+1</f>
        <v>93.0</v>
      </c>
      <c r="G647" s="1" t="str">
        <f>"Week_"&amp;F647</f>
        <v>Week_93</v>
      </c>
    </row>
    <row r="648" spans="8:8" ht="15.1">
      <c r="A648" s="3">
        <v>44498.0</v>
      </c>
      <c r="B648" s="2">
        <v>1569328.0</v>
      </c>
      <c r="C648" s="2">
        <v>27862.0</v>
      </c>
      <c r="D648" s="2">
        <f>_xlfn.IFERROR(B648-B647,0)</f>
        <v>166.0</v>
      </c>
      <c r="E648" s="2">
        <f>_xlfn.IFERROR(C648-C647,0)</f>
        <v>8.0</v>
      </c>
      <c r="F648" s="1">
        <f>INT((A648-DATE(2020,1,22))/7)+1</f>
        <v>93.0</v>
      </c>
      <c r="G648" s="1" t="str">
        <f>"Week_"&amp;F648</f>
        <v>Week_93</v>
      </c>
    </row>
    <row r="649" spans="8:8" ht="15.1">
      <c r="A649" s="3">
        <v>44499.0</v>
      </c>
      <c r="B649" s="2">
        <v>1569539.0</v>
      </c>
      <c r="C649" s="2">
        <v>27868.0</v>
      </c>
      <c r="D649" s="2">
        <f>_xlfn.IFERROR(B649-B648,0)</f>
        <v>211.0</v>
      </c>
      <c r="E649" s="2">
        <f>_xlfn.IFERROR(C649-C648,0)</f>
        <v>6.0</v>
      </c>
      <c r="F649" s="1">
        <f>INT((A649-DATE(2020,1,22))/7)+1</f>
        <v>93.0</v>
      </c>
      <c r="G649" s="1" t="str">
        <f>"Week_"&amp;F649</f>
        <v>Week_93</v>
      </c>
    </row>
    <row r="650" spans="8:8" ht="15.1">
      <c r="A650" s="3">
        <v>44500.0</v>
      </c>
      <c r="B650" s="2">
        <v>1569753.0</v>
      </c>
      <c r="C650" s="2">
        <v>27870.0</v>
      </c>
      <c r="D650" s="2">
        <f>_xlfn.IFERROR(B650-B649,0)</f>
        <v>214.0</v>
      </c>
      <c r="E650" s="2">
        <f>_xlfn.IFERROR(C650-C649,0)</f>
        <v>2.0</v>
      </c>
      <c r="F650" s="1">
        <f>INT((A650-DATE(2020,1,22))/7)+1</f>
        <v>93.0</v>
      </c>
      <c r="G650" s="1" t="str">
        <f>"Week_"&amp;F650</f>
        <v>Week_93</v>
      </c>
    </row>
    <row r="651" spans="8:8" ht="15.1">
      <c r="A651" s="3">
        <v>44501.0</v>
      </c>
      <c r="B651" s="2">
        <v>1569982.0</v>
      </c>
      <c r="C651" s="2">
        <v>27873.0</v>
      </c>
      <c r="D651" s="2">
        <f>_xlfn.IFERROR(B651-B650,0)</f>
        <v>229.0</v>
      </c>
      <c r="E651" s="2">
        <f>_xlfn.IFERROR(C651-C650,0)</f>
        <v>3.0</v>
      </c>
      <c r="F651" s="1">
        <f>INT((A651-DATE(2020,1,22))/7)+1</f>
        <v>93.0</v>
      </c>
      <c r="G651" s="1" t="str">
        <f>"Week_"&amp;F651</f>
        <v>Week_93</v>
      </c>
    </row>
    <row r="652" spans="8:8" ht="15.1">
      <c r="A652" s="3">
        <v>44502.0</v>
      </c>
      <c r="B652" s="2">
        <v>1570238.0</v>
      </c>
      <c r="C652" s="2">
        <v>27880.0</v>
      </c>
      <c r="D652" s="2">
        <f>_xlfn.IFERROR(B652-B651,0)</f>
        <v>256.0</v>
      </c>
      <c r="E652" s="2">
        <f>_xlfn.IFERROR(C652-C651,0)</f>
        <v>7.0</v>
      </c>
      <c r="F652" s="1">
        <f>INT((A652-DATE(2020,1,22))/7)+1</f>
        <v>93.0</v>
      </c>
      <c r="G652" s="1" t="str">
        <f>"Week_"&amp;F652</f>
        <v>Week_93</v>
      </c>
    </row>
    <row r="653" spans="8:8" ht="15.1">
      <c r="A653" s="3">
        <v>44503.0</v>
      </c>
      <c r="B653" s="2">
        <v>1570485.0</v>
      </c>
      <c r="C653" s="2">
        <v>27887.0</v>
      </c>
      <c r="D653" s="2">
        <f>_xlfn.IFERROR(B653-B652,0)</f>
        <v>247.0</v>
      </c>
      <c r="E653" s="2">
        <f>_xlfn.IFERROR(C653-C652,0)</f>
        <v>7.0</v>
      </c>
      <c r="F653" s="1">
        <f>INT((A653-DATE(2020,1,22))/7)+1</f>
        <v>94.0</v>
      </c>
      <c r="G653" s="1" t="str">
        <f>"Week_"&amp;F653</f>
        <v>Week_94</v>
      </c>
    </row>
    <row r="654" spans="8:8" ht="15.1">
      <c r="A654" s="3">
        <v>44504.0</v>
      </c>
      <c r="B654" s="2">
        <v>1570485.0</v>
      </c>
      <c r="C654" s="2">
        <v>27887.0</v>
      </c>
      <c r="D654" s="2">
        <f>_xlfn.IFERROR(B654-B653,0)</f>
        <v>0.0</v>
      </c>
      <c r="E654" s="2">
        <f>_xlfn.IFERROR(C654-C653,0)</f>
        <v>0.0</v>
      </c>
      <c r="F654" s="1">
        <f>INT((A654-DATE(2020,1,22))/7)+1</f>
        <v>94.0</v>
      </c>
      <c r="G654" s="1" t="str">
        <f>"Week_"&amp;F654</f>
        <v>Week_94</v>
      </c>
    </row>
    <row r="655" spans="8:8" ht="15.1">
      <c r="A655" s="3">
        <v>44505.0</v>
      </c>
      <c r="B655" s="2">
        <v>1570835.0</v>
      </c>
      <c r="C655" s="2">
        <v>27891.0</v>
      </c>
      <c r="D655" s="2">
        <f>_xlfn.IFERROR(B655-B654,0)</f>
        <v>350.0</v>
      </c>
      <c r="E655" s="2">
        <f>_xlfn.IFERROR(C655-C654,0)</f>
        <v>4.0</v>
      </c>
      <c r="F655" s="1">
        <f>INT((A655-DATE(2020,1,22))/7)+1</f>
        <v>94.0</v>
      </c>
      <c r="G655" s="1" t="str">
        <f>"Week_"&amp;F655</f>
        <v>Week_94</v>
      </c>
    </row>
    <row r="656" spans="8:8" ht="15.1">
      <c r="A656" s="3">
        <v>44506.0</v>
      </c>
      <c r="B656" s="2">
        <v>1571013.0</v>
      </c>
      <c r="C656" s="2">
        <v>27895.0</v>
      </c>
      <c r="D656" s="2">
        <f>_xlfn.IFERROR(B656-B655,0)</f>
        <v>178.0</v>
      </c>
      <c r="E656" s="2">
        <f>_xlfn.IFERROR(C656-C655,0)</f>
        <v>4.0</v>
      </c>
      <c r="F656" s="1">
        <f>INT((A656-DATE(2020,1,22))/7)+1</f>
        <v>94.0</v>
      </c>
      <c r="G656" s="1" t="str">
        <f>"Week_"&amp;F656</f>
        <v>Week_94</v>
      </c>
    </row>
    <row r="657" spans="8:8" ht="15.1">
      <c r="A657" s="3">
        <v>44507.0</v>
      </c>
      <c r="B657" s="2">
        <v>1571228.0</v>
      </c>
      <c r="C657" s="2">
        <v>27901.0</v>
      </c>
      <c r="D657" s="2">
        <f>_xlfn.IFERROR(B657-B656,0)</f>
        <v>215.0</v>
      </c>
      <c r="E657" s="2">
        <f>_xlfn.IFERROR(C657-C656,0)</f>
        <v>6.0</v>
      </c>
      <c r="F657" s="1">
        <f>INT((A657-DATE(2020,1,22))/7)+1</f>
        <v>94.0</v>
      </c>
      <c r="G657" s="1" t="str">
        <f>"Week_"&amp;F657</f>
        <v>Week_94</v>
      </c>
    </row>
    <row r="658" spans="8:8" ht="15.1">
      <c r="A658" s="3">
        <v>44508.0</v>
      </c>
      <c r="B658" s="2">
        <v>1571434.0</v>
      </c>
      <c r="C658" s="2">
        <v>27904.0</v>
      </c>
      <c r="D658" s="2">
        <f>_xlfn.IFERROR(B658-B657,0)</f>
        <v>206.0</v>
      </c>
      <c r="E658" s="2">
        <f>_xlfn.IFERROR(C658-C657,0)</f>
        <v>3.0</v>
      </c>
      <c r="F658" s="1">
        <f>INT((A658-DATE(2020,1,22))/7)+1</f>
        <v>94.0</v>
      </c>
      <c r="G658" s="1" t="str">
        <f>"Week_"&amp;F658</f>
        <v>Week_94</v>
      </c>
    </row>
    <row r="659" spans="8:8" ht="15.1">
      <c r="A659" s="3">
        <v>44509.0</v>
      </c>
      <c r="B659" s="2">
        <v>1571669.0</v>
      </c>
      <c r="C659" s="2">
        <v>27906.0</v>
      </c>
      <c r="D659" s="2">
        <f>_xlfn.IFERROR(B659-B658,0)</f>
        <v>235.0</v>
      </c>
      <c r="E659" s="2">
        <f>_xlfn.IFERROR(C659-C658,0)</f>
        <v>2.0</v>
      </c>
      <c r="F659" s="1">
        <f>INT((A659-DATE(2020,1,22))/7)+1</f>
        <v>94.0</v>
      </c>
      <c r="G659" s="1" t="str">
        <f>"Week_"&amp;F659</f>
        <v>Week_94</v>
      </c>
    </row>
    <row r="660" spans="8:8" ht="15.1">
      <c r="A660" s="3">
        <v>44510.0</v>
      </c>
      <c r="B660" s="2">
        <v>1571906.0</v>
      </c>
      <c r="C660" s="2">
        <v>27907.0</v>
      </c>
      <c r="D660" s="2">
        <f>_xlfn.IFERROR(B660-B659,0)</f>
        <v>237.0</v>
      </c>
      <c r="E660" s="2">
        <f>_xlfn.IFERROR(C660-C659,0)</f>
        <v>1.0</v>
      </c>
      <c r="F660" s="1">
        <f>INT((A660-DATE(2020,1,22))/7)+1</f>
        <v>95.0</v>
      </c>
      <c r="G660" s="1" t="str">
        <f>"Week_"&amp;F660</f>
        <v>Week_95</v>
      </c>
    </row>
    <row r="661" spans="8:8" ht="15.1">
      <c r="A661" s="3">
        <v>44511.0</v>
      </c>
      <c r="B661" s="2">
        <v>1572127.0</v>
      </c>
      <c r="C661" s="2">
        <v>27912.0</v>
      </c>
      <c r="D661" s="2">
        <f>_xlfn.IFERROR(B661-B660,0)</f>
        <v>221.0</v>
      </c>
      <c r="E661" s="2">
        <f>_xlfn.IFERROR(C661-C660,0)</f>
        <v>5.0</v>
      </c>
      <c r="F661" s="1">
        <f>INT((A661-DATE(2020,1,22))/7)+1</f>
        <v>95.0</v>
      </c>
      <c r="G661" s="1" t="str">
        <f>"Week_"&amp;F661</f>
        <v>Week_95</v>
      </c>
    </row>
    <row r="662" spans="8:8" ht="15.1">
      <c r="A662" s="3">
        <v>44512.0</v>
      </c>
      <c r="B662" s="2">
        <v>1572278.0</v>
      </c>
      <c r="C662" s="2">
        <v>27918.0</v>
      </c>
      <c r="D662" s="2">
        <f>_xlfn.IFERROR(B662-B661,0)</f>
        <v>151.0</v>
      </c>
      <c r="E662" s="2">
        <f>_xlfn.IFERROR(C662-C661,0)</f>
        <v>6.0</v>
      </c>
      <c r="F662" s="1">
        <f>INT((A662-DATE(2020,1,22))/7)+1</f>
        <v>95.0</v>
      </c>
      <c r="G662" s="1" t="str">
        <f>"Week_"&amp;F662</f>
        <v>Week_95</v>
      </c>
    </row>
    <row r="663" spans="8:8" ht="15.1">
      <c r="A663" s="3">
        <v>44513.0</v>
      </c>
      <c r="B663" s="2">
        <v>1572501.0</v>
      </c>
      <c r="C663" s="2">
        <v>27922.0</v>
      </c>
      <c r="D663" s="2">
        <f>_xlfn.IFERROR(B663-B662,0)</f>
        <v>223.0</v>
      </c>
      <c r="E663" s="2">
        <f>_xlfn.IFERROR(C663-C662,0)</f>
        <v>4.0</v>
      </c>
      <c r="F663" s="1">
        <f>INT((A663-DATE(2020,1,22))/7)+1</f>
        <v>95.0</v>
      </c>
      <c r="G663" s="1" t="str">
        <f>"Week_"&amp;F663</f>
        <v>Week_95</v>
      </c>
    </row>
    <row r="664" spans="8:8" ht="15.1">
      <c r="A664" s="3">
        <v>44514.0</v>
      </c>
      <c r="B664" s="2">
        <v>1572735.0</v>
      </c>
      <c r="C664" s="2">
        <v>27926.0</v>
      </c>
      <c r="D664" s="2">
        <f>_xlfn.IFERROR(B664-B663,0)</f>
        <v>234.0</v>
      </c>
      <c r="E664" s="2">
        <f>_xlfn.IFERROR(C664-C663,0)</f>
        <v>4.0</v>
      </c>
      <c r="F664" s="1">
        <f>INT((A664-DATE(2020,1,22))/7)+1</f>
        <v>95.0</v>
      </c>
      <c r="G664" s="1" t="str">
        <f>"Week_"&amp;F664</f>
        <v>Week_95</v>
      </c>
    </row>
    <row r="665" spans="8:8" ht="15.1">
      <c r="A665" s="3">
        <v>44515.0</v>
      </c>
      <c r="B665" s="2">
        <v>1572948.0</v>
      </c>
      <c r="C665" s="2">
        <v>27928.0</v>
      </c>
      <c r="D665" s="2">
        <f>_xlfn.IFERROR(B665-B664,0)</f>
        <v>213.0</v>
      </c>
      <c r="E665" s="2">
        <f>_xlfn.IFERROR(C665-C664,0)</f>
        <v>2.0</v>
      </c>
      <c r="F665" s="1">
        <f>INT((A665-DATE(2020,1,22))/7)+1</f>
        <v>95.0</v>
      </c>
      <c r="G665" s="1" t="str">
        <f>"Week_"&amp;F665</f>
        <v>Week_95</v>
      </c>
    </row>
    <row r="666" spans="8:8" ht="15.1">
      <c r="A666" s="3">
        <v>44516.0</v>
      </c>
      <c r="B666" s="2">
        <v>1573214.0</v>
      </c>
      <c r="C666" s="2">
        <v>27934.0</v>
      </c>
      <c r="D666" s="2">
        <f>_xlfn.IFERROR(B666-B665,0)</f>
        <v>266.0</v>
      </c>
      <c r="E666" s="2">
        <f>_xlfn.IFERROR(C666-C665,0)</f>
        <v>6.0</v>
      </c>
      <c r="F666" s="1">
        <f>INT((A666-DATE(2020,1,22))/7)+1</f>
        <v>95.0</v>
      </c>
      <c r="G666" s="1" t="str">
        <f>"Week_"&amp;F666</f>
        <v>Week_95</v>
      </c>
    </row>
    <row r="667" spans="8:8" ht="15.1">
      <c r="A667" s="3">
        <v>44517.0</v>
      </c>
      <c r="B667" s="2">
        <v>1573458.0</v>
      </c>
      <c r="C667" s="2">
        <v>27939.0</v>
      </c>
      <c r="D667" s="2">
        <f>_xlfn.IFERROR(B667-B666,0)</f>
        <v>244.0</v>
      </c>
      <c r="E667" s="2">
        <f>_xlfn.IFERROR(C667-C666,0)</f>
        <v>5.0</v>
      </c>
      <c r="F667" s="1">
        <f>INT((A667-DATE(2020,1,22))/7)+1</f>
        <v>96.0</v>
      </c>
      <c r="G667" s="1" t="str">
        <f>"Week_"&amp;F667</f>
        <v>Week_96</v>
      </c>
    </row>
    <row r="668" spans="8:8" ht="15.1">
      <c r="A668" s="3">
        <v>44518.0</v>
      </c>
      <c r="B668" s="2">
        <v>1573711.0</v>
      </c>
      <c r="C668" s="2">
        <v>27946.0</v>
      </c>
      <c r="D668" s="2">
        <f>_xlfn.IFERROR(B668-B667,0)</f>
        <v>253.0</v>
      </c>
      <c r="E668" s="2">
        <f>_xlfn.IFERROR(C668-C667,0)</f>
        <v>7.0</v>
      </c>
      <c r="F668" s="1">
        <f>INT((A668-DATE(2020,1,22))/7)+1</f>
        <v>96.0</v>
      </c>
      <c r="G668" s="1" t="str">
        <f>"Week_"&amp;F668</f>
        <v>Week_96</v>
      </c>
    </row>
    <row r="669" spans="8:8" ht="15.1">
      <c r="A669" s="3">
        <v>44519.0</v>
      </c>
      <c r="B669" s="2">
        <v>1573889.0</v>
      </c>
      <c r="C669" s="2">
        <v>27946.0</v>
      </c>
      <c r="D669" s="2">
        <f>_xlfn.IFERROR(B669-B668,0)</f>
        <v>178.0</v>
      </c>
      <c r="E669" s="2">
        <f>_xlfn.IFERROR(C669-C668,0)</f>
        <v>0.0</v>
      </c>
      <c r="F669" s="1">
        <f>INT((A669-DATE(2020,1,22))/7)+1</f>
        <v>96.0</v>
      </c>
      <c r="G669" s="1" t="str">
        <f>"Week_"&amp;F669</f>
        <v>Week_96</v>
      </c>
    </row>
    <row r="670" spans="8:8" ht="15.1">
      <c r="A670" s="3">
        <v>44520.0</v>
      </c>
      <c r="B670" s="2">
        <v>1574088.0</v>
      </c>
      <c r="C670" s="2">
        <v>27953.0</v>
      </c>
      <c r="D670" s="2">
        <f>_xlfn.IFERROR(B670-B669,0)</f>
        <v>199.0</v>
      </c>
      <c r="E670" s="2">
        <f>_xlfn.IFERROR(C670-C669,0)</f>
        <v>7.0</v>
      </c>
      <c r="F670" s="1">
        <f>INT((A670-DATE(2020,1,22))/7)+1</f>
        <v>96.0</v>
      </c>
      <c r="G670" s="1" t="str">
        <f>"Week_"&amp;F670</f>
        <v>Week_96</v>
      </c>
    </row>
    <row r="671" spans="8:8" ht="15.1">
      <c r="A671" s="3">
        <v>44521.0</v>
      </c>
      <c r="B671" s="2">
        <v>1574352.0</v>
      </c>
      <c r="C671" s="2">
        <v>27955.0</v>
      </c>
      <c r="D671" s="2">
        <f>_xlfn.IFERROR(B671-B670,0)</f>
        <v>264.0</v>
      </c>
      <c r="E671" s="2">
        <f>_xlfn.IFERROR(C671-C670,0)</f>
        <v>2.0</v>
      </c>
      <c r="F671" s="1">
        <f>INT((A671-DATE(2020,1,22))/7)+1</f>
        <v>96.0</v>
      </c>
      <c r="G671" s="1" t="str">
        <f>"Week_"&amp;F671</f>
        <v>Week_96</v>
      </c>
    </row>
    <row r="672" spans="8:8" ht="15.1">
      <c r="A672" s="3">
        <v>44522.0</v>
      </c>
      <c r="B672" s="2">
        <v>1574636.0</v>
      </c>
      <c r="C672" s="2">
        <v>27958.0</v>
      </c>
      <c r="D672" s="2">
        <f>_xlfn.IFERROR(B672-B671,0)</f>
        <v>284.0</v>
      </c>
      <c r="E672" s="2">
        <f>_xlfn.IFERROR(C672-C671,0)</f>
        <v>3.0</v>
      </c>
      <c r="F672" s="1">
        <f>INT((A672-DATE(2020,1,22))/7)+1</f>
        <v>96.0</v>
      </c>
      <c r="G672" s="1" t="str">
        <f>"Week_"&amp;F672</f>
        <v>Week_96</v>
      </c>
    </row>
    <row r="673" spans="8:8" ht="15.1">
      <c r="A673" s="3">
        <v>44523.0</v>
      </c>
      <c r="B673" s="2">
        <v>1574948.0</v>
      </c>
      <c r="C673" s="2">
        <v>27961.0</v>
      </c>
      <c r="D673" s="2">
        <f>_xlfn.IFERROR(B673-B672,0)</f>
        <v>312.0</v>
      </c>
      <c r="E673" s="2">
        <f>_xlfn.IFERROR(C673-C672,0)</f>
        <v>3.0</v>
      </c>
      <c r="F673" s="1">
        <f>INT((A673-DATE(2020,1,22))/7)+1</f>
        <v>96.0</v>
      </c>
      <c r="G673" s="1" t="str">
        <f>"Week_"&amp;F673</f>
        <v>Week_96</v>
      </c>
    </row>
    <row r="674" spans="8:8" ht="15.1">
      <c r="A674" s="3">
        <v>44524.0</v>
      </c>
      <c r="B674" s="2">
        <v>1575185.0</v>
      </c>
      <c r="C674" s="2">
        <v>27970.0</v>
      </c>
      <c r="D674" s="2">
        <f>_xlfn.IFERROR(B674-B673,0)</f>
        <v>237.0</v>
      </c>
      <c r="E674" s="2">
        <f>_xlfn.IFERROR(C674-C673,0)</f>
        <v>9.0</v>
      </c>
      <c r="F674" s="1">
        <f>INT((A674-DATE(2020,1,22))/7)+1</f>
        <v>97.0</v>
      </c>
      <c r="G674" s="1" t="str">
        <f>"Week_"&amp;F674</f>
        <v>Week_97</v>
      </c>
    </row>
    <row r="675" spans="8:8" ht="15.1">
      <c r="A675" s="3">
        <v>44525.0</v>
      </c>
      <c r="B675" s="2">
        <v>1575424.0</v>
      </c>
      <c r="C675" s="2">
        <v>27973.0</v>
      </c>
      <c r="D675" s="2">
        <f>_xlfn.IFERROR(B675-B674,0)</f>
        <v>239.0</v>
      </c>
      <c r="E675" s="2">
        <f>_xlfn.IFERROR(C675-C674,0)</f>
        <v>3.0</v>
      </c>
      <c r="F675" s="1">
        <f>INT((A675-DATE(2020,1,22))/7)+1</f>
        <v>97.0</v>
      </c>
      <c r="G675" s="1" t="str">
        <f>"Week_"&amp;F675</f>
        <v>Week_97</v>
      </c>
    </row>
    <row r="676" spans="8:8" ht="15.1">
      <c r="A676" s="3">
        <v>44526.0</v>
      </c>
      <c r="B676" s="2">
        <v>1575579.0</v>
      </c>
      <c r="C676" s="2">
        <v>27975.0</v>
      </c>
      <c r="D676" s="2">
        <f>_xlfn.IFERROR(B676-B675,0)</f>
        <v>155.0</v>
      </c>
      <c r="E676" s="2">
        <f>_xlfn.IFERROR(C676-C675,0)</f>
        <v>2.0</v>
      </c>
      <c r="F676" s="1">
        <f>INT((A676-DATE(2020,1,22))/7)+1</f>
        <v>97.0</v>
      </c>
      <c r="G676" s="1" t="str">
        <f>"Week_"&amp;F676</f>
        <v>Week_97</v>
      </c>
    </row>
    <row r="677" spans="8:8" ht="15.1">
      <c r="A677" s="3">
        <v>44527.0</v>
      </c>
      <c r="B677" s="2">
        <v>1575784.0</v>
      </c>
      <c r="C677" s="2">
        <v>27978.0</v>
      </c>
      <c r="D677" s="2">
        <f>_xlfn.IFERROR(B677-B676,0)</f>
        <v>205.0</v>
      </c>
      <c r="E677" s="2">
        <f>_xlfn.IFERROR(C677-C676,0)</f>
        <v>3.0</v>
      </c>
      <c r="F677" s="1">
        <f>INT((A677-DATE(2020,1,22))/7)+1</f>
        <v>97.0</v>
      </c>
      <c r="G677" s="1" t="str">
        <f>"Week_"&amp;F677</f>
        <v>Week_97</v>
      </c>
    </row>
    <row r="678" spans="8:8" ht="15.1">
      <c r="A678" s="3">
        <v>44528.0</v>
      </c>
      <c r="B678" s="2">
        <v>1576011.0</v>
      </c>
      <c r="C678" s="2">
        <v>27980.0</v>
      </c>
      <c r="D678" s="2">
        <f>_xlfn.IFERROR(B678-B677,0)</f>
        <v>227.0</v>
      </c>
      <c r="E678" s="2">
        <f>_xlfn.IFERROR(C678-C677,0)</f>
        <v>2.0</v>
      </c>
      <c r="F678" s="1">
        <f>INT((A678-DATE(2020,1,22))/7)+1</f>
        <v>97.0</v>
      </c>
      <c r="G678" s="1" t="str">
        <f>"Week_"&amp;F678</f>
        <v>Week_97</v>
      </c>
    </row>
    <row r="679" spans="8:8" ht="15.1">
      <c r="A679" s="3">
        <v>44529.0</v>
      </c>
      <c r="B679" s="2">
        <v>1576284.0</v>
      </c>
      <c r="C679" s="2">
        <v>27981.0</v>
      </c>
      <c r="D679" s="2">
        <f>_xlfn.IFERROR(B679-B678,0)</f>
        <v>273.0</v>
      </c>
      <c r="E679" s="2">
        <f>_xlfn.IFERROR(C679-C678,0)</f>
        <v>1.0</v>
      </c>
      <c r="F679" s="1">
        <f>INT((A679-DATE(2020,1,22))/7)+1</f>
        <v>97.0</v>
      </c>
      <c r="G679" s="1" t="str">
        <f>"Week_"&amp;F679</f>
        <v>Week_97</v>
      </c>
    </row>
    <row r="680" spans="8:8" ht="15.1">
      <c r="A680" s="3">
        <v>44530.0</v>
      </c>
      <c r="B680" s="2">
        <v>1576566.0</v>
      </c>
      <c r="C680" s="2">
        <v>27983.0</v>
      </c>
      <c r="D680" s="2">
        <f>_xlfn.IFERROR(B680-B679,0)</f>
        <v>282.0</v>
      </c>
      <c r="E680" s="2">
        <f>_xlfn.IFERROR(C680-C679,0)</f>
        <v>2.0</v>
      </c>
      <c r="F680" s="1">
        <f>INT((A680-DATE(2020,1,22))/7)+1</f>
        <v>97.0</v>
      </c>
      <c r="G680" s="1" t="str">
        <f>"Week_"&amp;F680</f>
        <v>Week_97</v>
      </c>
    </row>
    <row r="681" spans="8:8" ht="15.1">
      <c r="A681" s="3">
        <v>44531.0</v>
      </c>
      <c r="B681" s="2">
        <v>1576827.0</v>
      </c>
      <c r="C681" s="2">
        <v>27986.0</v>
      </c>
      <c r="D681" s="2">
        <f>_xlfn.IFERROR(B681-B680,0)</f>
        <v>261.0</v>
      </c>
      <c r="E681" s="2">
        <f>_xlfn.IFERROR(C681-C680,0)</f>
        <v>3.0</v>
      </c>
      <c r="F681" s="1">
        <f>INT((A681-DATE(2020,1,22))/7)+1</f>
        <v>98.0</v>
      </c>
      <c r="G681" s="1" t="str">
        <f>"Week_"&amp;F681</f>
        <v>Week_98</v>
      </c>
    </row>
    <row r="682" spans="8:8" ht="15.1">
      <c r="A682" s="3">
        <v>44532.0</v>
      </c>
      <c r="B682" s="2">
        <v>1577070.0</v>
      </c>
      <c r="C682" s="2">
        <v>27989.0</v>
      </c>
      <c r="D682" s="2">
        <f>_xlfn.IFERROR(B682-B681,0)</f>
        <v>243.0</v>
      </c>
      <c r="E682" s="2">
        <f>_xlfn.IFERROR(C682-C681,0)</f>
        <v>3.0</v>
      </c>
      <c r="F682" s="1">
        <f>INT((A682-DATE(2020,1,22))/7)+1</f>
        <v>98.0</v>
      </c>
      <c r="G682" s="1" t="str">
        <f>"Week_"&amp;F682</f>
        <v>Week_98</v>
      </c>
    </row>
    <row r="683" spans="8:8" ht="15.1">
      <c r="A683" s="3">
        <v>44533.0</v>
      </c>
      <c r="B683" s="2">
        <v>1577070.0</v>
      </c>
      <c r="C683" s="2">
        <v>27989.0</v>
      </c>
      <c r="D683" s="2">
        <f>_xlfn.IFERROR(B683-B682,0)</f>
        <v>0.0</v>
      </c>
      <c r="E683" s="2">
        <f>_xlfn.IFERROR(C683-C682,0)</f>
        <v>0.0</v>
      </c>
      <c r="F683" s="1">
        <f>INT((A683-DATE(2020,1,22))/7)+1</f>
        <v>98.0</v>
      </c>
      <c r="G683" s="1" t="str">
        <f>"Week_"&amp;F683</f>
        <v>Week_98</v>
      </c>
    </row>
    <row r="684" spans="8:8" ht="15.1">
      <c r="A684" s="3">
        <v>44534.0</v>
      </c>
      <c r="B684" s="2">
        <v>1577443.0</v>
      </c>
      <c r="C684" s="2">
        <v>28001.0</v>
      </c>
      <c r="D684" s="2">
        <f>_xlfn.IFERROR(B684-B683,0)</f>
        <v>373.0</v>
      </c>
      <c r="E684" s="2">
        <f>_xlfn.IFERROR(C684-C683,0)</f>
        <v>12.0</v>
      </c>
      <c r="F684" s="1">
        <f>INT((A684-DATE(2020,1,22))/7)+1</f>
        <v>98.0</v>
      </c>
      <c r="G684" s="1" t="str">
        <f>"Week_"&amp;F684</f>
        <v>Week_98</v>
      </c>
    </row>
    <row r="685" spans="8:8" ht="15.1">
      <c r="A685" s="3">
        <v>44535.0</v>
      </c>
      <c r="B685" s="2">
        <v>1577720.0</v>
      </c>
      <c r="C685" s="2">
        <v>28005.0</v>
      </c>
      <c r="D685" s="2">
        <f>_xlfn.IFERROR(B685-B684,0)</f>
        <v>277.0</v>
      </c>
      <c r="E685" s="2">
        <f>_xlfn.IFERROR(C685-C684,0)</f>
        <v>4.0</v>
      </c>
      <c r="F685" s="1">
        <f>INT((A685-DATE(2020,1,22))/7)+1</f>
        <v>98.0</v>
      </c>
      <c r="G685" s="1" t="str">
        <f>"Week_"&amp;F685</f>
        <v>Week_98</v>
      </c>
    </row>
    <row r="686" spans="8:8" ht="15.1">
      <c r="A686" s="3">
        <v>44536.0</v>
      </c>
      <c r="B686" s="2">
        <v>1578011.0</v>
      </c>
      <c r="C686" s="2">
        <v>28010.0</v>
      </c>
      <c r="D686" s="2">
        <f>_xlfn.IFERROR(B686-B685,0)</f>
        <v>291.0</v>
      </c>
      <c r="E686" s="2">
        <f>_xlfn.IFERROR(C686-C685,0)</f>
        <v>5.0</v>
      </c>
      <c r="F686" s="1">
        <f>INT((A686-DATE(2020,1,22))/7)+1</f>
        <v>98.0</v>
      </c>
      <c r="G686" s="1" t="str">
        <f>"Week_"&amp;F686</f>
        <v>Week_98</v>
      </c>
    </row>
    <row r="687" spans="8:8" ht="15.1">
      <c r="A687" s="3">
        <v>44537.0</v>
      </c>
      <c r="B687" s="2">
        <v>1578288.0</v>
      </c>
      <c r="C687" s="2">
        <v>28016.0</v>
      </c>
      <c r="D687" s="2">
        <f>_xlfn.IFERROR(B687-B686,0)</f>
        <v>277.0</v>
      </c>
      <c r="E687" s="2">
        <f>_xlfn.IFERROR(C687-C686,0)</f>
        <v>6.0</v>
      </c>
      <c r="F687" s="1">
        <f>INT((A687-DATE(2020,1,22))/7)+1</f>
        <v>98.0</v>
      </c>
      <c r="G687" s="1" t="str">
        <f>"Week_"&amp;F687</f>
        <v>Week_98</v>
      </c>
    </row>
    <row r="688" spans="8:8" ht="15.1">
      <c r="A688" s="3">
        <v>44538.0</v>
      </c>
      <c r="B688" s="2">
        <v>1578550.0</v>
      </c>
      <c r="C688" s="2">
        <v>28016.0</v>
      </c>
      <c r="D688" s="2">
        <f>_xlfn.IFERROR(B688-B687,0)</f>
        <v>262.0</v>
      </c>
      <c r="E688" s="2">
        <f>_xlfn.IFERROR(C688-C687,0)</f>
        <v>0.0</v>
      </c>
      <c r="F688" s="1">
        <f>INT((A688-DATE(2020,1,22))/7)+1</f>
        <v>99.0</v>
      </c>
      <c r="G688" s="1" t="str">
        <f>"Week_"&amp;F688</f>
        <v>Week_99</v>
      </c>
    </row>
    <row r="689" spans="8:8" ht="15.1">
      <c r="A689" s="3">
        <v>44539.0</v>
      </c>
      <c r="B689" s="2">
        <v>1578819.0</v>
      </c>
      <c r="C689" s="2">
        <v>28017.0</v>
      </c>
      <c r="D689" s="2">
        <f>_xlfn.IFERROR(B689-B688,0)</f>
        <v>269.0</v>
      </c>
      <c r="E689" s="2">
        <f>_xlfn.IFERROR(C689-C688,0)</f>
        <v>1.0</v>
      </c>
      <c r="F689" s="1">
        <f>INT((A689-DATE(2020,1,22))/7)+1</f>
        <v>99.0</v>
      </c>
      <c r="G689" s="1" t="str">
        <f>"Week_"&amp;F689</f>
        <v>Week_99</v>
      </c>
    </row>
    <row r="690" spans="8:8" ht="15.1">
      <c r="A690" s="3">
        <v>44540.0</v>
      </c>
      <c r="B690" s="2">
        <v>1578996.0</v>
      </c>
      <c r="C690" s="2">
        <v>28022.0</v>
      </c>
      <c r="D690" s="2">
        <f>_xlfn.IFERROR(B690-B689,0)</f>
        <v>177.0</v>
      </c>
      <c r="E690" s="2">
        <f>_xlfn.IFERROR(C690-C689,0)</f>
        <v>5.0</v>
      </c>
      <c r="F690" s="1">
        <f>INT((A690-DATE(2020,1,22))/7)+1</f>
        <v>99.0</v>
      </c>
      <c r="G690" s="1" t="str">
        <f>"Week_"&amp;F690</f>
        <v>Week_99</v>
      </c>
    </row>
    <row r="691" spans="8:8" ht="15.1">
      <c r="A691" s="3">
        <v>44541.0</v>
      </c>
      <c r="B691" s="2">
        <v>1579325.0</v>
      </c>
      <c r="C691" s="2">
        <v>28028.0</v>
      </c>
      <c r="D691" s="2">
        <f>_xlfn.IFERROR(B691-B690,0)</f>
        <v>329.0</v>
      </c>
      <c r="E691" s="2">
        <f>_xlfn.IFERROR(C691-C690,0)</f>
        <v>6.0</v>
      </c>
      <c r="F691" s="1">
        <f>INT((A691-DATE(2020,1,22))/7)+1</f>
        <v>99.0</v>
      </c>
      <c r="G691" s="1" t="str">
        <f>"Week_"&amp;F691</f>
        <v>Week_99</v>
      </c>
    </row>
    <row r="692" spans="8:8" ht="15.1">
      <c r="A692" s="3">
        <v>44542.0</v>
      </c>
      <c r="B692" s="2">
        <v>1579710.0</v>
      </c>
      <c r="C692" s="2">
        <v>28031.0</v>
      </c>
      <c r="D692" s="2">
        <f>_xlfn.IFERROR(B692-B691,0)</f>
        <v>385.0</v>
      </c>
      <c r="E692" s="2">
        <f>_xlfn.IFERROR(C692-C691,0)</f>
        <v>3.0</v>
      </c>
      <c r="F692" s="1">
        <f>INT((A692-DATE(2020,1,22))/7)+1</f>
        <v>99.0</v>
      </c>
      <c r="G692" s="1" t="str">
        <f>"Week_"&amp;F692</f>
        <v>Week_99</v>
      </c>
    </row>
    <row r="693" spans="8:8" ht="15.1">
      <c r="A693" s="3">
        <v>44543.0</v>
      </c>
      <c r="B693" s="2">
        <v>1580005.0</v>
      </c>
      <c r="C693" s="2">
        <v>28034.0</v>
      </c>
      <c r="D693" s="2">
        <f>_xlfn.IFERROR(B693-B692,0)</f>
        <v>295.0</v>
      </c>
      <c r="E693" s="2">
        <f>_xlfn.IFERROR(C693-C692,0)</f>
        <v>3.0</v>
      </c>
      <c r="F693" s="1">
        <f>INT((A693-DATE(2020,1,22))/7)+1</f>
        <v>99.0</v>
      </c>
      <c r="G693" s="1" t="str">
        <f>"Week_"&amp;F693</f>
        <v>Week_99</v>
      </c>
    </row>
    <row r="694" spans="8:8" ht="15.1">
      <c r="A694" s="3">
        <v>44544.0</v>
      </c>
      <c r="B694" s="2">
        <v>1580302.0</v>
      </c>
      <c r="C694" s="2">
        <v>28038.0</v>
      </c>
      <c r="D694" s="2">
        <f>_xlfn.IFERROR(B694-B693,0)</f>
        <v>297.0</v>
      </c>
      <c r="E694" s="2">
        <f>_xlfn.IFERROR(C694-C693,0)</f>
        <v>4.0</v>
      </c>
      <c r="F694" s="1">
        <f>INT((A694-DATE(2020,1,22))/7)+1</f>
        <v>99.0</v>
      </c>
      <c r="G694" s="1" t="str">
        <f>"Week_"&amp;F694</f>
        <v>Week_99</v>
      </c>
    </row>
    <row r="695" spans="8:8" ht="15.1">
      <c r="A695" s="3">
        <v>44545.0</v>
      </c>
      <c r="B695" s="2">
        <v>1580559.0</v>
      </c>
      <c r="C695" s="2">
        <v>28041.0</v>
      </c>
      <c r="D695" s="2">
        <f>_xlfn.IFERROR(B695-B694,0)</f>
        <v>257.0</v>
      </c>
      <c r="E695" s="2">
        <f>_xlfn.IFERROR(C695-C694,0)</f>
        <v>3.0</v>
      </c>
      <c r="F695" s="1">
        <f>INT((A695-DATE(2020,1,22))/7)+1</f>
        <v>100.0</v>
      </c>
      <c r="G695" s="1" t="str">
        <f>"Week_"&amp;F695</f>
        <v>Week_100</v>
      </c>
    </row>
    <row r="696" spans="8:8" ht="15.1">
      <c r="A696" s="3">
        <v>44546.0</v>
      </c>
      <c r="B696" s="2">
        <v>1580750.0</v>
      </c>
      <c r="C696" s="2">
        <v>28043.0</v>
      </c>
      <c r="D696" s="2">
        <f>_xlfn.IFERROR(B696-B695,0)</f>
        <v>191.0</v>
      </c>
      <c r="E696" s="2">
        <f>_xlfn.IFERROR(C696-C695,0)</f>
        <v>2.0</v>
      </c>
      <c r="F696" s="1">
        <f>INT((A696-DATE(2020,1,22))/7)+1</f>
        <v>100.0</v>
      </c>
      <c r="G696" s="1" t="str">
        <f>"Week_"&amp;F696</f>
        <v>Week_100</v>
      </c>
    </row>
    <row r="697" spans="8:8" ht="15.1">
      <c r="A697" s="3">
        <v>44547.0</v>
      </c>
      <c r="B697" s="2">
        <v>1580872.0</v>
      </c>
      <c r="C697" s="2">
        <v>28047.0</v>
      </c>
      <c r="D697" s="2">
        <f>_xlfn.IFERROR(B697-B696,0)</f>
        <v>122.0</v>
      </c>
      <c r="E697" s="2">
        <f>_xlfn.IFERROR(C697-C696,0)</f>
        <v>4.0</v>
      </c>
      <c r="F697" s="1">
        <f>INT((A697-DATE(2020,1,22))/7)+1</f>
        <v>100.0</v>
      </c>
      <c r="G697" s="1" t="str">
        <f>"Week_"&amp;F697</f>
        <v>Week_100</v>
      </c>
    </row>
    <row r="698" spans="8:8" ht="15.1">
      <c r="A698" s="3">
        <v>44548.0</v>
      </c>
      <c r="B698" s="2">
        <v>1581083.0</v>
      </c>
      <c r="C698" s="2">
        <v>28048.0</v>
      </c>
      <c r="D698" s="2">
        <f>_xlfn.IFERROR(B698-B697,0)</f>
        <v>211.0</v>
      </c>
      <c r="E698" s="2">
        <f>_xlfn.IFERROR(C698-C697,0)</f>
        <v>1.0</v>
      </c>
      <c r="F698" s="1">
        <f>INT((A698-DATE(2020,1,22))/7)+1</f>
        <v>100.0</v>
      </c>
      <c r="G698" s="1" t="str">
        <f>"Week_"&amp;F698</f>
        <v>Week_100</v>
      </c>
    </row>
    <row r="699" spans="8:8" ht="15.1">
      <c r="A699" s="3">
        <v>44549.0</v>
      </c>
      <c r="B699" s="2">
        <v>1581343.0</v>
      </c>
      <c r="C699" s="2">
        <v>28050.0</v>
      </c>
      <c r="D699" s="2">
        <f>_xlfn.IFERROR(B699-B698,0)</f>
        <v>260.0</v>
      </c>
      <c r="E699" s="2">
        <f>_xlfn.IFERROR(C699-C698,0)</f>
        <v>2.0</v>
      </c>
      <c r="F699" s="1">
        <f>INT((A699-DATE(2020,1,22))/7)+1</f>
        <v>100.0</v>
      </c>
      <c r="G699" s="1" t="str">
        <f>"Week_"&amp;F699</f>
        <v>Week_100</v>
      </c>
    </row>
    <row r="700" spans="8:8" ht="15.1">
      <c r="A700" s="3">
        <v>44550.0</v>
      </c>
      <c r="B700" s="2">
        <v>1581634.0</v>
      </c>
      <c r="C700" s="2">
        <v>28051.0</v>
      </c>
      <c r="D700" s="2">
        <f>_xlfn.IFERROR(B700-B699,0)</f>
        <v>291.0</v>
      </c>
      <c r="E700" s="2">
        <f>_xlfn.IFERROR(C700-C699,0)</f>
        <v>1.0</v>
      </c>
      <c r="F700" s="1">
        <f>INT((A700-DATE(2020,1,22))/7)+1</f>
        <v>100.0</v>
      </c>
      <c r="G700" s="1" t="str">
        <f>"Week_"&amp;F700</f>
        <v>Week_100</v>
      </c>
    </row>
    <row r="701" spans="8:8" ht="15.1">
      <c r="A701" s="3">
        <v>44551.0</v>
      </c>
      <c r="B701" s="2">
        <v>1581986.0</v>
      </c>
      <c r="C701" s="2">
        <v>28052.0</v>
      </c>
      <c r="D701" s="2">
        <f>_xlfn.IFERROR(B701-B700,0)</f>
        <v>352.0</v>
      </c>
      <c r="E701" s="2">
        <f>_xlfn.IFERROR(C701-C700,0)</f>
        <v>1.0</v>
      </c>
      <c r="F701" s="1">
        <f>INT((A701-DATE(2020,1,22))/7)+1</f>
        <v>100.0</v>
      </c>
      <c r="G701" s="1" t="str">
        <f>"Week_"&amp;F701</f>
        <v>Week_100</v>
      </c>
    </row>
    <row r="702" spans="8:8" ht="15.1">
      <c r="A702" s="3">
        <v>44552.0</v>
      </c>
      <c r="B702" s="2">
        <v>1582368.0</v>
      </c>
      <c r="C702" s="2">
        <v>28054.0</v>
      </c>
      <c r="D702" s="2">
        <f>_xlfn.IFERROR(B702-B701,0)</f>
        <v>382.0</v>
      </c>
      <c r="E702" s="2">
        <f>_xlfn.IFERROR(C702-C701,0)</f>
        <v>2.0</v>
      </c>
      <c r="F702" s="1">
        <f>INT((A702-DATE(2020,1,22))/7)+1</f>
        <v>101.0</v>
      </c>
      <c r="G702" s="1" t="str">
        <f>"Week_"&amp;F702</f>
        <v>Week_101</v>
      </c>
    </row>
    <row r="703" spans="8:8" ht="15.1">
      <c r="A703" s="3">
        <v>44553.0</v>
      </c>
      <c r="B703" s="2">
        <v>1582710.0</v>
      </c>
      <c r="C703" s="2">
        <v>28055.0</v>
      </c>
      <c r="D703" s="2">
        <f>_xlfn.IFERROR(B703-B702,0)</f>
        <v>342.0</v>
      </c>
      <c r="E703" s="2">
        <f>_xlfn.IFERROR(C703-C702,0)</f>
        <v>1.0</v>
      </c>
      <c r="F703" s="1">
        <f>INT((A703-DATE(2020,1,22))/7)+1</f>
        <v>101.0</v>
      </c>
      <c r="G703" s="1" t="str">
        <f>"Week_"&amp;F703</f>
        <v>Week_101</v>
      </c>
    </row>
    <row r="704" spans="8:8" ht="15.1">
      <c r="A704" s="3">
        <v>44554.0</v>
      </c>
      <c r="B704" s="2">
        <v>1582985.0</v>
      </c>
      <c r="C704" s="2">
        <v>28056.0</v>
      </c>
      <c r="D704" s="2">
        <f>_xlfn.IFERROR(B704-B703,0)</f>
        <v>275.0</v>
      </c>
      <c r="E704" s="2">
        <f>_xlfn.IFERROR(C704-C703,0)</f>
        <v>1.0</v>
      </c>
      <c r="F704" s="1">
        <f>INT((A704-DATE(2020,1,22))/7)+1</f>
        <v>101.0</v>
      </c>
      <c r="G704" s="1" t="str">
        <f>"Week_"&amp;F704</f>
        <v>Week_101</v>
      </c>
    </row>
    <row r="705" spans="8:8" ht="15.1">
      <c r="A705" s="3">
        <v>44555.0</v>
      </c>
      <c r="B705" s="2">
        <v>1583253.0</v>
      </c>
      <c r="C705" s="2">
        <v>28060.0</v>
      </c>
      <c r="D705" s="2">
        <f>_xlfn.IFERROR(B705-B704,0)</f>
        <v>268.0</v>
      </c>
      <c r="E705" s="2">
        <f>_xlfn.IFERROR(C705-C704,0)</f>
        <v>4.0</v>
      </c>
      <c r="F705" s="1">
        <f>INT((A705-DATE(2020,1,22))/7)+1</f>
        <v>101.0</v>
      </c>
      <c r="G705" s="1" t="str">
        <f>"Week_"&amp;F705</f>
        <v>Week_101</v>
      </c>
    </row>
    <row r="706" spans="8:8" ht="15.1">
      <c r="A706" s="3">
        <v>44556.0</v>
      </c>
      <c r="B706" s="2">
        <v>1583626.0</v>
      </c>
      <c r="C706" s="2">
        <v>28061.0</v>
      </c>
      <c r="D706" s="2">
        <f>_xlfn.IFERROR(B706-B705,0)</f>
        <v>373.0</v>
      </c>
      <c r="E706" s="2">
        <f>_xlfn.IFERROR(C706-C705,0)</f>
        <v>1.0</v>
      </c>
      <c r="F706" s="1">
        <f>INT((A706-DATE(2020,1,22))/7)+1</f>
        <v>101.0</v>
      </c>
      <c r="G706" s="1" t="str">
        <f>"Week_"&amp;F706</f>
        <v>Week_101</v>
      </c>
    </row>
    <row r="707" spans="8:8" ht="15.1">
      <c r="A707" s="3">
        <v>44557.0</v>
      </c>
      <c r="B707" s="2">
        <v>1584023.0</v>
      </c>
      <c r="C707" s="2">
        <v>28062.0</v>
      </c>
      <c r="D707" s="2">
        <f>_xlfn.IFERROR(B707-B706,0)</f>
        <v>397.0</v>
      </c>
      <c r="E707" s="2">
        <f>_xlfn.IFERROR(C707-C706,0)</f>
        <v>1.0</v>
      </c>
      <c r="F707" s="1">
        <f>INT((A707-DATE(2020,1,22))/7)+1</f>
        <v>101.0</v>
      </c>
      <c r="G707" s="1" t="str">
        <f>"Week_"&amp;F707</f>
        <v>Week_101</v>
      </c>
    </row>
    <row r="708" spans="8:8" ht="15.1">
      <c r="A708" s="3">
        <v>44558.0</v>
      </c>
      <c r="B708" s="2">
        <v>1584518.0</v>
      </c>
      <c r="C708" s="2">
        <v>28063.0</v>
      </c>
      <c r="D708" s="2">
        <f>_xlfn.IFERROR(B708-B707,0)</f>
        <v>495.0</v>
      </c>
      <c r="E708" s="2">
        <f>_xlfn.IFERROR(C708-C707,0)</f>
        <v>1.0</v>
      </c>
      <c r="F708" s="1">
        <f>INT((A708-DATE(2020,1,22))/7)+1</f>
        <v>101.0</v>
      </c>
      <c r="G708" s="1" t="str">
        <f>"Week_"&amp;F708</f>
        <v>Week_101</v>
      </c>
    </row>
    <row r="709" spans="8:8" ht="15.1">
      <c r="A709" s="3">
        <v>44559.0</v>
      </c>
      <c r="B709" s="2">
        <v>1585027.0</v>
      </c>
      <c r="C709" s="2">
        <v>28070.0</v>
      </c>
      <c r="D709" s="2">
        <f>_xlfn.IFERROR(B709-B708,0)</f>
        <v>509.0</v>
      </c>
      <c r="E709" s="2">
        <f>_xlfn.IFERROR(C709-C708,0)</f>
        <v>7.0</v>
      </c>
      <c r="F709" s="1">
        <f>INT((A709-DATE(2020,1,22))/7)+1</f>
        <v>102.0</v>
      </c>
      <c r="G709" s="1" t="str">
        <f>"Week_"&amp;F709</f>
        <v>Week_102</v>
      </c>
    </row>
    <row r="710" spans="8:8" ht="15.1">
      <c r="A710" s="3">
        <v>44560.0</v>
      </c>
      <c r="B710" s="2">
        <v>1585539.0</v>
      </c>
      <c r="C710" s="2">
        <v>28072.0</v>
      </c>
      <c r="D710" s="2">
        <f>_xlfn.IFERROR(B710-B709,0)</f>
        <v>512.0</v>
      </c>
      <c r="E710" s="2">
        <f>_xlfn.IFERROR(C710-C709,0)</f>
        <v>2.0</v>
      </c>
      <c r="F710" s="1">
        <f>INT((A710-DATE(2020,1,22))/7)+1</f>
        <v>102.0</v>
      </c>
      <c r="G710" s="1" t="str">
        <f>"Week_"&amp;F710</f>
        <v>Week_102</v>
      </c>
    </row>
    <row r="711" spans="8:8" ht="15.1">
      <c r="A711" s="3">
        <v>44561.0</v>
      </c>
      <c r="B711" s="2">
        <v>1585909.0</v>
      </c>
      <c r="C711" s="2">
        <v>28076.0</v>
      </c>
      <c r="D711" s="2">
        <f>_xlfn.IFERROR(B711-B710,0)</f>
        <v>370.0</v>
      </c>
      <c r="E711" s="2">
        <f>_xlfn.IFERROR(C711-C710,0)</f>
        <v>4.0</v>
      </c>
      <c r="F711" s="1">
        <f>INT((A711-DATE(2020,1,22))/7)+1</f>
        <v>102.0</v>
      </c>
      <c r="G711" s="1" t="str">
        <f>"Week_"&amp;F711</f>
        <v>Week_102</v>
      </c>
    </row>
    <row r="712" spans="8:8" ht="15.1">
      <c r="A712" s="3">
        <v>44562.0</v>
      </c>
      <c r="B712" s="2">
        <v>1586466.0</v>
      </c>
      <c r="C712" s="2">
        <v>28077.0</v>
      </c>
      <c r="D712" s="2">
        <f>_xlfn.IFERROR(B712-B711,0)</f>
        <v>557.0</v>
      </c>
      <c r="E712" s="2">
        <f>_xlfn.IFERROR(C712-C711,0)</f>
        <v>1.0</v>
      </c>
      <c r="F712" s="1">
        <f>INT((A712-DATE(2020,1,22))/7)+1</f>
        <v>102.0</v>
      </c>
      <c r="G712" s="1" t="str">
        <f>"Week_"&amp;F712</f>
        <v>Week_102</v>
      </c>
    </row>
    <row r="713" spans="8:8" ht="15.1" hidden="1">
      <c r="A713" s="3">
        <v>44563.0</v>
      </c>
      <c r="B713" s="2">
        <v>1587140.0</v>
      </c>
      <c r="C713" s="2">
        <v>28081.0</v>
      </c>
      <c r="D713" s="2">
        <f>_xlfn.IFERROR(B713-B712,0)</f>
        <v>674.0</v>
      </c>
      <c r="E713" s="2">
        <f>_xlfn.IFERROR(C713-C712,0)</f>
        <v>4.0</v>
      </c>
      <c r="F713" s="1">
        <f>INT((A713-DATE(2020,1,22))/7)+1</f>
        <v>102.0</v>
      </c>
      <c r="G713" s="1" t="str">
        <f>"Week_"&amp;F713</f>
        <v>Week_102</v>
      </c>
    </row>
    <row r="714" spans="8:8" ht="15.1">
      <c r="A714" s="3">
        <v>44564.0</v>
      </c>
      <c r="B714" s="2">
        <v>1587915.0</v>
      </c>
      <c r="C714" s="2">
        <v>28087.0</v>
      </c>
      <c r="D714" s="2">
        <f>_xlfn.IFERROR(B714-B713,0)</f>
        <v>775.0</v>
      </c>
      <c r="E714" s="2">
        <f>_xlfn.IFERROR(C714-C713,0)</f>
        <v>6.0</v>
      </c>
      <c r="F714" s="1">
        <f>INT((A714-DATE(2020,1,22))/7)+1</f>
        <v>102.0</v>
      </c>
      <c r="G714" s="1" t="str">
        <f>"Week_"&amp;F714</f>
        <v>Week_102</v>
      </c>
    </row>
    <row r="715" spans="8:8" ht="15.1">
      <c r="A715" s="3">
        <v>44565.0</v>
      </c>
      <c r="B715" s="2">
        <v>1588807.0</v>
      </c>
      <c r="C715" s="2">
        <v>28090.0</v>
      </c>
      <c r="D715" s="2">
        <f>_xlfn.IFERROR(B715-B714,0)</f>
        <v>892.0</v>
      </c>
      <c r="E715" s="2">
        <f>_xlfn.IFERROR(C715-C714,0)</f>
        <v>3.0</v>
      </c>
      <c r="F715" s="1">
        <f>INT((A715-DATE(2020,1,22))/7)+1</f>
        <v>102.0</v>
      </c>
      <c r="G715" s="1" t="str">
        <f>"Week_"&amp;F715</f>
        <v>Week_102</v>
      </c>
    </row>
    <row r="716" spans="8:8" ht="15.1">
      <c r="A716" s="3">
        <v>44566.0</v>
      </c>
      <c r="B716" s="2">
        <v>1589947.0</v>
      </c>
      <c r="C716" s="2">
        <v>28097.0</v>
      </c>
      <c r="D716" s="2">
        <f>_xlfn.IFERROR(B716-B715,0)</f>
        <v>1140.0</v>
      </c>
      <c r="E716" s="2">
        <f>_xlfn.IFERROR(C716-C715,0)</f>
        <v>7.0</v>
      </c>
      <c r="F716" s="1">
        <f>INT((A716-DATE(2020,1,22))/7)+1</f>
        <v>103.0</v>
      </c>
      <c r="G716" s="1" t="str">
        <f>"Week_"&amp;F716</f>
        <v>Week_103</v>
      </c>
    </row>
    <row r="717" spans="8:8" ht="15.1">
      <c r="A717" s="3">
        <v>44567.0</v>
      </c>
      <c r="B717" s="2">
        <v>1591093.0</v>
      </c>
      <c r="C717" s="2">
        <v>28098.0</v>
      </c>
      <c r="D717" s="2">
        <f>_xlfn.IFERROR(B717-B716,0)</f>
        <v>1146.0</v>
      </c>
      <c r="E717" s="2">
        <f>_xlfn.IFERROR(C717-C716,0)</f>
        <v>1.0</v>
      </c>
      <c r="F717" s="1">
        <f>INT((A717-DATE(2020,1,22))/7)+1</f>
        <v>103.0</v>
      </c>
      <c r="G717" s="1" t="str">
        <f>"Week_"&amp;F717</f>
        <v>Week_103</v>
      </c>
    </row>
    <row r="718" spans="8:8" ht="15.1">
      <c r="A718" s="3">
        <v>44568.0</v>
      </c>
      <c r="B718" s="2">
        <v>1592209.0</v>
      </c>
      <c r="C718" s="2">
        <v>28099.0</v>
      </c>
      <c r="D718" s="2">
        <f>_xlfn.IFERROR(B718-B717,0)</f>
        <v>1116.0</v>
      </c>
      <c r="E718" s="2">
        <f>_xlfn.IFERROR(C718-C717,0)</f>
        <v>1.0</v>
      </c>
      <c r="F718" s="1">
        <f>INT((A718-DATE(2020,1,22))/7)+1</f>
        <v>103.0</v>
      </c>
      <c r="G718" s="1" t="str">
        <f>"Week_"&amp;F718</f>
        <v>Week_103</v>
      </c>
    </row>
    <row r="719" spans="8:8" ht="15.1">
      <c r="A719" s="3">
        <v>44569.0</v>
      </c>
      <c r="B719" s="2">
        <v>1593700.0</v>
      </c>
      <c r="C719" s="2">
        <v>28102.0</v>
      </c>
      <c r="D719" s="2">
        <f>_xlfn.IFERROR(B719-B718,0)</f>
        <v>1491.0</v>
      </c>
      <c r="E719" s="2">
        <f>_xlfn.IFERROR(C719-C718,0)</f>
        <v>3.0</v>
      </c>
      <c r="F719" s="1">
        <f>INT((A719-DATE(2020,1,22))/7)+1</f>
        <v>103.0</v>
      </c>
      <c r="G719" s="1" t="str">
        <f>"Week_"&amp;F719</f>
        <v>Week_103</v>
      </c>
    </row>
    <row r="720" spans="8:8" ht="15.1">
      <c r="A720" s="3">
        <v>44570.0</v>
      </c>
      <c r="B720" s="2">
        <v>1595931.0</v>
      </c>
      <c r="C720" s="2">
        <v>28105.0</v>
      </c>
      <c r="D720" s="2">
        <f>_xlfn.IFERROR(B720-B719,0)</f>
        <v>2231.0</v>
      </c>
      <c r="E720" s="2">
        <f>_xlfn.IFERROR(C720-C719,0)</f>
        <v>3.0</v>
      </c>
      <c r="F720" s="1">
        <f>INT((A720-DATE(2020,1,22))/7)+1</f>
        <v>103.0</v>
      </c>
      <c r="G720" s="1" t="str">
        <f>"Week_"&amp;F720</f>
        <v>Week_103</v>
      </c>
    </row>
    <row r="721" spans="8:8" ht="15.1">
      <c r="A721" s="3">
        <v>44571.0</v>
      </c>
      <c r="B721" s="2">
        <v>1598389.0</v>
      </c>
      <c r="C721" s="2">
        <v>28107.0</v>
      </c>
      <c r="D721" s="2">
        <f>_xlfn.IFERROR(B721-B720,0)</f>
        <v>2458.0</v>
      </c>
      <c r="E721" s="2">
        <f>_xlfn.IFERROR(C721-C720,0)</f>
        <v>2.0</v>
      </c>
      <c r="F721" s="1">
        <f>INT((A721-DATE(2020,1,22))/7)+1</f>
        <v>103.0</v>
      </c>
      <c r="G721" s="1" t="str">
        <f>"Week_"&amp;F721</f>
        <v>Week_103</v>
      </c>
    </row>
    <row r="722" spans="8:8" ht="15.1">
      <c r="A722" s="3">
        <v>44572.0</v>
      </c>
      <c r="B722" s="2">
        <v>1601305.0</v>
      </c>
      <c r="C722" s="2">
        <v>28111.0</v>
      </c>
      <c r="D722" s="2">
        <f>_xlfn.IFERROR(B722-B721,0)</f>
        <v>2916.0</v>
      </c>
      <c r="E722" s="2">
        <f>_xlfn.IFERROR(C722-C721,0)</f>
        <v>4.0</v>
      </c>
      <c r="F722" s="1">
        <f>INT((A722-DATE(2020,1,22))/7)+1</f>
        <v>103.0</v>
      </c>
      <c r="G722" s="1" t="str">
        <f>"Week_"&amp;F722</f>
        <v>Week_103</v>
      </c>
    </row>
    <row r="723" spans="8:8" ht="15.1">
      <c r="A723" s="3">
        <v>44573.0</v>
      </c>
      <c r="B723" s="2">
        <v>1604664.0</v>
      </c>
      <c r="C723" s="2">
        <v>28123.0</v>
      </c>
      <c r="D723" s="2">
        <f>_xlfn.IFERROR(B723-B722,0)</f>
        <v>3359.0</v>
      </c>
      <c r="E723" s="2">
        <f>_xlfn.IFERROR(C723-C722,0)</f>
        <v>12.0</v>
      </c>
      <c r="F723" s="1">
        <f>INT((A723-DATE(2020,1,22))/7)+1</f>
        <v>104.0</v>
      </c>
      <c r="G723" s="1" t="str">
        <f>"Week_"&amp;F723</f>
        <v>Week_104</v>
      </c>
    </row>
    <row r="724" spans="8:8" ht="15.1">
      <c r="A724" s="3">
        <v>44574.0</v>
      </c>
      <c r="B724" s="2">
        <v>1609042.0</v>
      </c>
      <c r="C724" s="2">
        <v>28129.0</v>
      </c>
      <c r="D724" s="2">
        <f>_xlfn.IFERROR(B724-B723,0)</f>
        <v>4378.0</v>
      </c>
      <c r="E724" s="2">
        <f>_xlfn.IFERROR(C724-C723,0)</f>
        <v>6.0</v>
      </c>
      <c r="F724" s="1">
        <f>INT((A724-DATE(2020,1,22))/7)+1</f>
        <v>104.0</v>
      </c>
      <c r="G724" s="1" t="str">
        <f>"Week_"&amp;F724</f>
        <v>Week_104</v>
      </c>
    </row>
    <row r="725" spans="8:8" ht="15.1">
      <c r="A725" s="3">
        <v>44575.0</v>
      </c>
      <c r="B725" s="2">
        <v>1612489.0</v>
      </c>
      <c r="C725" s="2">
        <v>28136.0</v>
      </c>
      <c r="D725" s="2">
        <f>_xlfn.IFERROR(B725-B724,0)</f>
        <v>3447.0</v>
      </c>
      <c r="E725" s="2">
        <f>_xlfn.IFERROR(C725-C724,0)</f>
        <v>7.0</v>
      </c>
      <c r="F725" s="1">
        <f>INT((A725-DATE(2020,1,22))/7)+1</f>
        <v>104.0</v>
      </c>
      <c r="G725" s="1" t="str">
        <f>"Week_"&amp;F725</f>
        <v>Week_104</v>
      </c>
    </row>
    <row r="726" spans="8:8" ht="15.1">
      <c r="A726" s="3">
        <v>44576.0</v>
      </c>
      <c r="B726" s="2">
        <v>1617711.0</v>
      </c>
      <c r="C726" s="2">
        <v>28144.0</v>
      </c>
      <c r="D726" s="2">
        <f>_xlfn.IFERROR(B726-B725,0)</f>
        <v>5222.0</v>
      </c>
      <c r="E726" s="2">
        <f>_xlfn.IFERROR(C726-C725,0)</f>
        <v>8.0</v>
      </c>
      <c r="F726" s="1">
        <f>INT((A726-DATE(2020,1,22))/7)+1</f>
        <v>104.0</v>
      </c>
      <c r="G726" s="1" t="str">
        <f>"Week_"&amp;F726</f>
        <v>Week_104</v>
      </c>
    </row>
    <row r="727" spans="8:8" ht="15.1">
      <c r="A727" s="3">
        <v>44577.0</v>
      </c>
      <c r="B727" s="2">
        <v>1624387.0</v>
      </c>
      <c r="C727" s="2">
        <v>28154.0</v>
      </c>
      <c r="D727" s="2">
        <f>_xlfn.IFERROR(B727-B726,0)</f>
        <v>6676.0</v>
      </c>
      <c r="E727" s="2">
        <f>_xlfn.IFERROR(C727-C726,0)</f>
        <v>10.0</v>
      </c>
      <c r="F727" s="1">
        <f>INT((A727-DATE(2020,1,22))/7)+1</f>
        <v>104.0</v>
      </c>
      <c r="G727" s="1" t="str">
        <f>"Week_"&amp;F727</f>
        <v>Week_104</v>
      </c>
    </row>
    <row r="728" spans="8:8" ht="15.1">
      <c r="A728" s="3">
        <v>44578.0</v>
      </c>
      <c r="B728" s="2">
        <v>1632794.0</v>
      </c>
      <c r="C728" s="2">
        <v>28164.0</v>
      </c>
      <c r="D728" s="2">
        <f>_xlfn.IFERROR(B728-B727,0)</f>
        <v>8407.0</v>
      </c>
      <c r="E728" s="2">
        <f>_xlfn.IFERROR(C728-C727,0)</f>
        <v>10.0</v>
      </c>
      <c r="F728" s="1">
        <f>INT((A728-DATE(2020,1,22))/7)+1</f>
        <v>104.0</v>
      </c>
      <c r="G728" s="1" t="str">
        <f>"Week_"&amp;F728</f>
        <v>Week_104</v>
      </c>
    </row>
    <row r="729" spans="8:8" ht="15.1">
      <c r="A729" s="3">
        <v>44579.0</v>
      </c>
      <c r="B729" s="2">
        <v>1642294.0</v>
      </c>
      <c r="C729" s="2">
        <v>28176.0</v>
      </c>
      <c r="D729" s="2">
        <f>_xlfn.IFERROR(B729-B728,0)</f>
        <v>9500.0</v>
      </c>
      <c r="E729" s="2">
        <f>_xlfn.IFERROR(C729-C728,0)</f>
        <v>12.0</v>
      </c>
      <c r="F729" s="1">
        <f>INT((A729-DATE(2020,1,22))/7)+1</f>
        <v>104.0</v>
      </c>
      <c r="G729" s="1" t="str">
        <f>"Week_"&amp;F729</f>
        <v>Week_104</v>
      </c>
    </row>
    <row r="730" spans="8:8" ht="15.1">
      <c r="A730" s="3">
        <v>44580.0</v>
      </c>
      <c r="B730" s="2">
        <v>1653182.0</v>
      </c>
      <c r="C730" s="2">
        <v>28180.0</v>
      </c>
      <c r="D730" s="2">
        <f>_xlfn.IFERROR(B730-B729,0)</f>
        <v>10888.0</v>
      </c>
      <c r="E730" s="2">
        <f>_xlfn.IFERROR(C730-C729,0)</f>
        <v>4.0</v>
      </c>
      <c r="F730" s="1">
        <f>INT((A730-DATE(2020,1,22))/7)+1</f>
        <v>105.0</v>
      </c>
      <c r="G730" s="1" t="str">
        <f>"Week_"&amp;F730</f>
        <v>Week_105</v>
      </c>
    </row>
    <row r="731" spans="8:8" ht="15.1">
      <c r="A731" s="3">
        <v>44581.0</v>
      </c>
      <c r="B731" s="2">
        <v>1664616.0</v>
      </c>
      <c r="C731" s="2">
        <v>28192.0</v>
      </c>
      <c r="D731" s="2">
        <f>_xlfn.IFERROR(B731-B730,0)</f>
        <v>11434.0</v>
      </c>
      <c r="E731" s="2">
        <f>_xlfn.IFERROR(C731-C730,0)</f>
        <v>12.0</v>
      </c>
      <c r="F731" s="1">
        <f>INT((A731-DATE(2020,1,22))/7)+1</f>
        <v>105.0</v>
      </c>
      <c r="G731" s="1" t="str">
        <f>"Week_"&amp;F731</f>
        <v>Week_105</v>
      </c>
    </row>
    <row r="732" spans="8:8" ht="15.1">
      <c r="A732" s="3">
        <v>44582.0</v>
      </c>
      <c r="B732" s="2">
        <v>1674230.0</v>
      </c>
      <c r="C732" s="2">
        <v>28209.0</v>
      </c>
      <c r="D732" s="2">
        <f>_xlfn.IFERROR(B732-B731,0)</f>
        <v>9614.0</v>
      </c>
      <c r="E732" s="2">
        <f>_xlfn.IFERROR(C732-C731,0)</f>
        <v>17.0</v>
      </c>
      <c r="F732" s="1">
        <f>INT((A732-DATE(2020,1,22))/7)+1</f>
        <v>105.0</v>
      </c>
      <c r="G732" s="1" t="str">
        <f>"Week_"&amp;F732</f>
        <v>Week_105</v>
      </c>
    </row>
    <row r="733" spans="8:8" ht="15.1">
      <c r="A733" s="3">
        <v>44583.0</v>
      </c>
      <c r="B733" s="2">
        <v>1685136.0</v>
      </c>
      <c r="C733" s="2">
        <v>28223.0</v>
      </c>
      <c r="D733" s="2">
        <f>_xlfn.IFERROR(B733-B732,0)</f>
        <v>10906.0</v>
      </c>
      <c r="E733" s="2">
        <f>_xlfn.IFERROR(C733-C732,0)</f>
        <v>14.0</v>
      </c>
      <c r="F733" s="1">
        <f>INT((A733-DATE(2020,1,22))/7)+1</f>
        <v>105.0</v>
      </c>
      <c r="G733" s="1" t="str">
        <f>"Week_"&amp;F733</f>
        <v>Week_105</v>
      </c>
    </row>
    <row r="734" spans="8:8" ht="15.1">
      <c r="A734" s="3">
        <v>44584.0</v>
      </c>
      <c r="B734" s="2">
        <v>1699964.0</v>
      </c>
      <c r="C734" s="2">
        <v>28238.0</v>
      </c>
      <c r="D734" s="2">
        <f>_xlfn.IFERROR(B734-B733,0)</f>
        <v>14828.0</v>
      </c>
      <c r="E734" s="2">
        <f>_xlfn.IFERROR(C734-C733,0)</f>
        <v>15.0</v>
      </c>
      <c r="F734" s="1">
        <f>INT((A734-DATE(2020,1,22))/7)+1</f>
        <v>105.0</v>
      </c>
      <c r="G734" s="1" t="str">
        <f>"Week_"&amp;F734</f>
        <v>Week_105</v>
      </c>
    </row>
    <row r="735" spans="8:8" ht="15.1">
      <c r="A735" s="3">
        <v>44585.0</v>
      </c>
      <c r="B735" s="2">
        <v>1715997.0</v>
      </c>
      <c r="C735" s="2">
        <v>28256.0</v>
      </c>
      <c r="D735" s="2">
        <f>_xlfn.IFERROR(B735-B734,0)</f>
        <v>16033.0</v>
      </c>
      <c r="E735" s="2">
        <f>_xlfn.IFERROR(C735-C734,0)</f>
        <v>18.0</v>
      </c>
      <c r="F735" s="1">
        <f>INT((A735-DATE(2020,1,22))/7)+1</f>
        <v>105.0</v>
      </c>
      <c r="G735" s="1" t="str">
        <f>"Week_"&amp;F735</f>
        <v>Week_105</v>
      </c>
    </row>
    <row r="736" spans="8:8" ht="15.1">
      <c r="A736" s="3">
        <v>44586.0</v>
      </c>
      <c r="B736" s="2">
        <v>1731524.0</v>
      </c>
      <c r="C736" s="2">
        <v>28273.0</v>
      </c>
      <c r="D736" s="2">
        <f>_xlfn.IFERROR(B736-B735,0)</f>
        <v>15527.0</v>
      </c>
      <c r="E736" s="2">
        <f>_xlfn.IFERROR(C736-C735,0)</f>
        <v>17.0</v>
      </c>
      <c r="F736" s="1">
        <f>INT((A736-DATE(2020,1,22))/7)+1</f>
        <v>105.0</v>
      </c>
      <c r="G736" s="1" t="str">
        <f>"Week_"&amp;F736</f>
        <v>Week_105</v>
      </c>
    </row>
    <row r="737" spans="8:8" ht="15.1">
      <c r="A737" s="3">
        <v>44587.0</v>
      </c>
      <c r="B737" s="2">
        <v>1747331.0</v>
      </c>
      <c r="C737" s="2">
        <v>28288.0</v>
      </c>
      <c r="D737" s="2">
        <f>_xlfn.IFERROR(B737-B736,0)</f>
        <v>15807.0</v>
      </c>
      <c r="E737" s="2">
        <f>_xlfn.IFERROR(C737-C736,0)</f>
        <v>15.0</v>
      </c>
      <c r="F737" s="1">
        <f>INT((A737-DATE(2020,1,22))/7)+1</f>
        <v>106.0</v>
      </c>
      <c r="G737" s="1" t="str">
        <f>"Week_"&amp;F737</f>
        <v>Week_106</v>
      </c>
    </row>
    <row r="738" spans="8:8" ht="15.1">
      <c r="A738" s="3">
        <v>44588.0</v>
      </c>
      <c r="B738" s="2">
        <v>1762771.0</v>
      </c>
      <c r="C738" s="2">
        <v>28308.0</v>
      </c>
      <c r="D738" s="2">
        <f>_xlfn.IFERROR(B738-B737,0)</f>
        <v>15440.0</v>
      </c>
      <c r="E738" s="2">
        <f>_xlfn.IFERROR(C738-C737,0)</f>
        <v>20.0</v>
      </c>
      <c r="F738" s="1">
        <f>INT((A738-DATE(2020,1,22))/7)+1</f>
        <v>106.0</v>
      </c>
      <c r="G738" s="1" t="str">
        <f>"Week_"&amp;F738</f>
        <v>Week_106</v>
      </c>
    </row>
    <row r="739" spans="8:8" ht="15.1">
      <c r="A739" s="3">
        <v>44589.0</v>
      </c>
      <c r="B739" s="2">
        <v>1773149.0</v>
      </c>
      <c r="C739" s="2">
        <v>28329.0</v>
      </c>
      <c r="D739" s="2">
        <f>_xlfn.IFERROR(B739-B738,0)</f>
        <v>10378.0</v>
      </c>
      <c r="E739" s="2">
        <f>_xlfn.IFERROR(C739-C738,0)</f>
        <v>21.0</v>
      </c>
      <c r="F739" s="1">
        <f>INT((A739-DATE(2020,1,22))/7)+1</f>
        <v>106.0</v>
      </c>
      <c r="G739" s="1" t="str">
        <f>"Week_"&amp;F739</f>
        <v>Week_106</v>
      </c>
    </row>
    <row r="740" spans="8:8" ht="15.1">
      <c r="A740" s="3">
        <v>44590.0</v>
      </c>
      <c r="B740" s="2">
        <v>1785332.0</v>
      </c>
      <c r="C740" s="2">
        <v>28363.0</v>
      </c>
      <c r="D740" s="2">
        <f>_xlfn.IFERROR(B740-B739,0)</f>
        <v>12183.0</v>
      </c>
      <c r="E740" s="2">
        <f>_xlfn.IFERROR(C740-C739,0)</f>
        <v>34.0</v>
      </c>
      <c r="F740" s="1">
        <f>INT((A740-DATE(2020,1,22))/7)+1</f>
        <v>106.0</v>
      </c>
      <c r="G740" s="1" t="str">
        <f>"Week_"&amp;F740</f>
        <v>Week_106</v>
      </c>
    </row>
    <row r="741" spans="8:8" ht="15.1">
      <c r="A741" s="3">
        <v>44591.0</v>
      </c>
      <c r="B741" s="2">
        <v>1798833.0</v>
      </c>
      <c r="C741" s="2">
        <v>28394.0</v>
      </c>
      <c r="D741" s="2">
        <f>_xlfn.IFERROR(B741-B740,0)</f>
        <v>13501.0</v>
      </c>
      <c r="E741" s="2">
        <f>_xlfn.IFERROR(C741-C740,0)</f>
        <v>31.0</v>
      </c>
      <c r="F741" s="1">
        <f>INT((A741-DATE(2020,1,22))/7)+1</f>
        <v>106.0</v>
      </c>
      <c r="G741" s="1" t="str">
        <f>"Week_"&amp;F741</f>
        <v>Week_106</v>
      </c>
    </row>
    <row r="742" spans="8:8" ht="15.1">
      <c r="A742" s="3">
        <v>44592.0</v>
      </c>
      <c r="B742" s="2">
        <v>1811987.0</v>
      </c>
      <c r="C742" s="2">
        <v>28425.0</v>
      </c>
      <c r="D742" s="2">
        <f>_xlfn.IFERROR(B742-B741,0)</f>
        <v>13154.0</v>
      </c>
      <c r="E742" s="2">
        <f>_xlfn.IFERROR(C742-C741,0)</f>
        <v>31.0</v>
      </c>
      <c r="F742" s="1">
        <f>INT((A742-DATE(2020,1,22))/7)+1</f>
        <v>106.0</v>
      </c>
      <c r="G742" s="1" t="str">
        <f>"Week_"&amp;F742</f>
        <v>Week_106</v>
      </c>
    </row>
    <row r="743" spans="8:8" ht="15.1">
      <c r="A743" s="3">
        <v>44593.0</v>
      </c>
      <c r="B743" s="2">
        <v>1824180.0</v>
      </c>
      <c r="C743" s="2">
        <v>28461.0</v>
      </c>
      <c r="D743" s="2">
        <f>_xlfn.IFERROR(B743-B742,0)</f>
        <v>12193.0</v>
      </c>
      <c r="E743" s="2">
        <f>_xlfn.IFERROR(C743-C742,0)</f>
        <v>36.0</v>
      </c>
      <c r="F743" s="1">
        <f>INT((A743-DATE(2020,1,22))/7)+1</f>
        <v>106.0</v>
      </c>
      <c r="G743" s="1" t="str">
        <f>"Week_"&amp;F743</f>
        <v>Week_106</v>
      </c>
    </row>
    <row r="744" spans="8:8" ht="15.1">
      <c r="A744" s="3">
        <v>44594.0</v>
      </c>
      <c r="B744" s="2">
        <v>1835776.0</v>
      </c>
      <c r="C744" s="2">
        <v>28494.0</v>
      </c>
      <c r="D744" s="2">
        <f>_xlfn.IFERROR(B744-B743,0)</f>
        <v>11596.0</v>
      </c>
      <c r="E744" s="2">
        <f>_xlfn.IFERROR(C744-C743,0)</f>
        <v>33.0</v>
      </c>
      <c r="F744" s="1">
        <f>INT((A744-DATE(2020,1,22))/7)+1</f>
        <v>107.0</v>
      </c>
      <c r="G744" s="1" t="str">
        <f>"Week_"&amp;F744</f>
        <v>Week_107</v>
      </c>
    </row>
    <row r="745" spans="8:8" ht="15.1">
      <c r="A745" s="3">
        <v>44595.0</v>
      </c>
      <c r="B745" s="2">
        <v>1844828.0</v>
      </c>
      <c r="C745" s="2">
        <v>28524.0</v>
      </c>
      <c r="D745" s="2">
        <f>_xlfn.IFERROR(B745-B744,0)</f>
        <v>9052.0</v>
      </c>
      <c r="E745" s="2">
        <f>_xlfn.IFERROR(C745-C744,0)</f>
        <v>30.0</v>
      </c>
      <c r="F745" s="1">
        <f>INT((A745-DATE(2020,1,22))/7)+1</f>
        <v>107.0</v>
      </c>
      <c r="G745" s="1" t="str">
        <f>"Week_"&amp;F745</f>
        <v>Week_107</v>
      </c>
    </row>
    <row r="746" spans="8:8" ht="15.1">
      <c r="A746" s="3">
        <v>44596.0</v>
      </c>
      <c r="B746" s="2">
        <v>1853187.0</v>
      </c>
      <c r="C746" s="2">
        <v>28560.0</v>
      </c>
      <c r="D746" s="2">
        <f>_xlfn.IFERROR(B746-B745,0)</f>
        <v>8359.0</v>
      </c>
      <c r="E746" s="2">
        <f>_xlfn.IFERROR(C746-C745,0)</f>
        <v>36.0</v>
      </c>
      <c r="F746" s="1">
        <f>INT((A746-DATE(2020,1,22))/7)+1</f>
        <v>107.0</v>
      </c>
      <c r="G746" s="1" t="str">
        <f>"Week_"&amp;F746</f>
        <v>Week_107</v>
      </c>
    </row>
    <row r="747" spans="8:8" ht="15.1">
      <c r="A747" s="3">
        <v>44597.0</v>
      </c>
      <c r="B747" s="2">
        <v>1861532.0</v>
      </c>
      <c r="C747" s="2">
        <v>28589.0</v>
      </c>
      <c r="D747" s="2">
        <f>_xlfn.IFERROR(B747-B746,0)</f>
        <v>8345.0</v>
      </c>
      <c r="E747" s="2">
        <f>_xlfn.IFERROR(C747-C746,0)</f>
        <v>29.0</v>
      </c>
      <c r="F747" s="1">
        <f>INT((A747-DATE(2020,1,22))/7)+1</f>
        <v>107.0</v>
      </c>
      <c r="G747" s="1" t="str">
        <f>"Week_"&amp;F747</f>
        <v>Week_107</v>
      </c>
    </row>
    <row r="748" spans="8:8" ht="15.1">
      <c r="A748" s="3">
        <v>44598.0</v>
      </c>
      <c r="B748" s="2">
        <v>1870901.0</v>
      </c>
      <c r="C748" s="2">
        <v>28627.0</v>
      </c>
      <c r="D748" s="2">
        <f>_xlfn.IFERROR(B748-B747,0)</f>
        <v>9369.0</v>
      </c>
      <c r="E748" s="2">
        <f>_xlfn.IFERROR(C748-C747,0)</f>
        <v>38.0</v>
      </c>
      <c r="F748" s="1">
        <f>INT((A748-DATE(2020,1,22))/7)+1</f>
        <v>107.0</v>
      </c>
      <c r="G748" s="1" t="str">
        <f>"Week_"&amp;F748</f>
        <v>Week_107</v>
      </c>
    </row>
    <row r="749" spans="8:8" ht="15.1">
      <c r="A749" s="3">
        <v>44599.0</v>
      </c>
      <c r="B749" s="2">
        <v>1879255.0</v>
      </c>
      <c r="C749" s="2">
        <v>28670.0</v>
      </c>
      <c r="D749" s="2">
        <f>_xlfn.IFERROR(B749-B748,0)</f>
        <v>8354.0</v>
      </c>
      <c r="E749" s="2">
        <f>_xlfn.IFERROR(C749-C748,0)</f>
        <v>43.0</v>
      </c>
      <c r="F749" s="1">
        <f>INT((A749-DATE(2020,1,22))/7)+1</f>
        <v>107.0</v>
      </c>
      <c r="G749" s="1" t="str">
        <f>"Week_"&amp;F749</f>
        <v>Week_107</v>
      </c>
    </row>
    <row r="750" spans="8:8" ht="15.1">
      <c r="A750" s="3">
        <v>44600.0</v>
      </c>
      <c r="B750" s="2">
        <v>1887271.0</v>
      </c>
      <c r="C750" s="2">
        <v>28703.0</v>
      </c>
      <c r="D750" s="2">
        <f>_xlfn.IFERROR(B750-B749,0)</f>
        <v>8016.0</v>
      </c>
      <c r="E750" s="2">
        <f>_xlfn.IFERROR(C750-C749,0)</f>
        <v>33.0</v>
      </c>
      <c r="F750" s="1">
        <f>INT((A750-DATE(2020,1,22))/7)+1</f>
        <v>107.0</v>
      </c>
      <c r="G750" s="1" t="str">
        <f>"Week_"&amp;F750</f>
        <v>Week_107</v>
      </c>
    </row>
    <row r="751" spans="8:8" ht="15.1">
      <c r="A751" s="3">
        <v>44601.0</v>
      </c>
      <c r="B751" s="2">
        <v>1894535.0</v>
      </c>
      <c r="C751" s="2">
        <v>28744.0</v>
      </c>
      <c r="D751" s="2">
        <f>_xlfn.IFERROR(B751-B750,0)</f>
        <v>7264.0</v>
      </c>
      <c r="E751" s="2">
        <f>_xlfn.IFERROR(C751-C750,0)</f>
        <v>41.0</v>
      </c>
      <c r="F751" s="1">
        <f>INT((A751-DATE(2020,1,22))/7)+1</f>
        <v>108.0</v>
      </c>
      <c r="G751" s="1" t="str">
        <f>"Week_"&amp;F751</f>
        <v>Week_108</v>
      </c>
    </row>
    <row r="752" spans="8:8" ht="15.1">
      <c r="A752" s="3">
        <v>44602.0</v>
      </c>
      <c r="B752" s="2">
        <v>1899803.0</v>
      </c>
      <c r="C752" s="2">
        <v>28771.0</v>
      </c>
      <c r="D752" s="2">
        <f>_xlfn.IFERROR(B752-B751,0)</f>
        <v>5268.0</v>
      </c>
      <c r="E752" s="2">
        <f>_xlfn.IFERROR(C752-C751,0)</f>
        <v>27.0</v>
      </c>
      <c r="F752" s="1">
        <f>INT((A752-DATE(2020,1,22))/7)+1</f>
        <v>108.0</v>
      </c>
      <c r="G752" s="1" t="str">
        <f>"Week_"&amp;F752</f>
        <v>Week_108</v>
      </c>
    </row>
    <row r="753" spans="8:8" ht="15.1">
      <c r="A753" s="3">
        <v>44603.0</v>
      </c>
      <c r="B753" s="2">
        <v>1904826.0</v>
      </c>
      <c r="C753" s="2">
        <v>28791.0</v>
      </c>
      <c r="D753" s="2">
        <f>_xlfn.IFERROR(B753-B752,0)</f>
        <v>5023.0</v>
      </c>
      <c r="E753" s="2">
        <f>_xlfn.IFERROR(C753-C752,0)</f>
        <v>20.0</v>
      </c>
      <c r="F753" s="1">
        <f>INT((A753-DATE(2020,1,22))/7)+1</f>
        <v>108.0</v>
      </c>
      <c r="G753" s="1" t="str">
        <f>"Week_"&amp;F753</f>
        <v>Week_108</v>
      </c>
    </row>
    <row r="754" spans="8:8" ht="15.1">
      <c r="A754" s="3">
        <v>44604.0</v>
      </c>
      <c r="B754" s="2">
        <v>1909664.0</v>
      </c>
      <c r="C754" s="2">
        <v>28819.0</v>
      </c>
      <c r="D754" s="2">
        <f>_xlfn.IFERROR(B754-B753,0)</f>
        <v>4838.0</v>
      </c>
      <c r="E754" s="2">
        <f>_xlfn.IFERROR(C754-C753,0)</f>
        <v>28.0</v>
      </c>
      <c r="F754" s="1">
        <f>INT((A754-DATE(2020,1,22))/7)+1</f>
        <v>108.0</v>
      </c>
      <c r="G754" s="1" t="str">
        <f>"Week_"&amp;F754</f>
        <v>Week_108</v>
      </c>
    </row>
    <row r="755" spans="8:8" ht="15.1">
      <c r="A755" s="3">
        <v>44605.0</v>
      </c>
      <c r="B755" s="2">
        <v>1914356.0</v>
      </c>
      <c r="C755" s="2">
        <v>28838.0</v>
      </c>
      <c r="D755" s="2">
        <f>_xlfn.IFERROR(B755-B754,0)</f>
        <v>4692.0</v>
      </c>
      <c r="E755" s="2">
        <f>_xlfn.IFERROR(C755-C754,0)</f>
        <v>19.0</v>
      </c>
      <c r="F755" s="1">
        <f>INT((A755-DATE(2020,1,22))/7)+1</f>
        <v>108.0</v>
      </c>
      <c r="G755" s="1" t="str">
        <f>"Week_"&amp;F755</f>
        <v>Week_108</v>
      </c>
    </row>
    <row r="756" spans="8:8" ht="15.1">
      <c r="A756" s="3">
        <v>44606.0</v>
      </c>
      <c r="B756" s="2">
        <v>1919102.0</v>
      </c>
      <c r="C756" s="2">
        <v>28872.0</v>
      </c>
      <c r="D756" s="2">
        <f>_xlfn.IFERROR(B756-B755,0)</f>
        <v>4746.0</v>
      </c>
      <c r="E756" s="2">
        <f>_xlfn.IFERROR(C756-C755,0)</f>
        <v>34.0</v>
      </c>
      <c r="F756" s="1">
        <f>INT((A756-DATE(2020,1,22))/7)+1</f>
        <v>108.0</v>
      </c>
      <c r="G756" s="1" t="str">
        <f>"Week_"&amp;F756</f>
        <v>Week_108</v>
      </c>
    </row>
    <row r="757" spans="8:8" ht="15.1">
      <c r="A757" s="3">
        <v>44607.0</v>
      </c>
      <c r="B757" s="2">
        <v>1923031.0</v>
      </c>
      <c r="C757" s="2">
        <v>28887.0</v>
      </c>
      <c r="D757" s="2">
        <f>_xlfn.IFERROR(B757-B756,0)</f>
        <v>3929.0</v>
      </c>
      <c r="E757" s="2">
        <f>_xlfn.IFERROR(C757-C756,0)</f>
        <v>15.0</v>
      </c>
      <c r="F757" s="1">
        <f>INT((A757-DATE(2020,1,22))/7)+1</f>
        <v>108.0</v>
      </c>
      <c r="G757" s="1" t="str">
        <f>"Week_"&amp;F757</f>
        <v>Week_108</v>
      </c>
    </row>
    <row r="758" spans="8:8" ht="15.1">
      <c r="A758" s="3">
        <v>44608.0</v>
      </c>
      <c r="B758" s="2">
        <v>1926570.0</v>
      </c>
      <c r="C758" s="2">
        <v>28907.0</v>
      </c>
      <c r="D758" s="2">
        <f>_xlfn.IFERROR(B758-B757,0)</f>
        <v>3539.0</v>
      </c>
      <c r="E758" s="2">
        <f>_xlfn.IFERROR(C758-C757,0)</f>
        <v>20.0</v>
      </c>
      <c r="F758" s="1">
        <f>INT((A758-DATE(2020,1,22))/7)+1</f>
        <v>109.0</v>
      </c>
      <c r="G758" s="1" t="str">
        <f>"Week_"&amp;F758</f>
        <v>Week_109</v>
      </c>
    </row>
    <row r="759" spans="8:8" ht="15.1">
      <c r="A759" s="3">
        <v>44609.0</v>
      </c>
      <c r="B759" s="2">
        <v>1929154.0</v>
      </c>
      <c r="C759" s="2">
        <v>28931.0</v>
      </c>
      <c r="D759" s="2">
        <f>_xlfn.IFERROR(B759-B758,0)</f>
        <v>2584.0</v>
      </c>
      <c r="E759" s="2">
        <f>_xlfn.IFERROR(C759-C758,0)</f>
        <v>24.0</v>
      </c>
      <c r="F759" s="1">
        <f>INT((A759-DATE(2020,1,22))/7)+1</f>
        <v>109.0</v>
      </c>
      <c r="G759" s="1" t="str">
        <f>"Week_"&amp;F759</f>
        <v>Week_109</v>
      </c>
    </row>
    <row r="760" spans="8:8" ht="15.1">
      <c r="A760" s="3">
        <v>44610.0</v>
      </c>
      <c r="B760" s="2">
        <v>1931304.0</v>
      </c>
      <c r="C760" s="2">
        <v>28944.0</v>
      </c>
      <c r="D760" s="2">
        <f>_xlfn.IFERROR(B760-B759,0)</f>
        <v>2150.0</v>
      </c>
      <c r="E760" s="2">
        <f>_xlfn.IFERROR(C760-C759,0)</f>
        <v>13.0</v>
      </c>
      <c r="F760" s="1">
        <f>INT((A760-DATE(2020,1,22))/7)+1</f>
        <v>109.0</v>
      </c>
      <c r="G760" s="1" t="str">
        <f>"Week_"&amp;F760</f>
        <v>Week_109</v>
      </c>
    </row>
    <row r="761" spans="8:8" ht="15.1">
      <c r="A761" s="3">
        <v>44611.0</v>
      </c>
      <c r="B761" s="2">
        <v>1933291.0</v>
      </c>
      <c r="C761" s="2">
        <v>28965.0</v>
      </c>
      <c r="D761" s="2">
        <f>_xlfn.IFERROR(B761-B760,0)</f>
        <v>1987.0</v>
      </c>
      <c r="E761" s="2">
        <f>_xlfn.IFERROR(C761-C760,0)</f>
        <v>21.0</v>
      </c>
      <c r="F761" s="1">
        <f>INT((A761-DATE(2020,1,22))/7)+1</f>
        <v>109.0</v>
      </c>
      <c r="G761" s="1" t="str">
        <f>"Week_"&amp;F761</f>
        <v>Week_109</v>
      </c>
    </row>
    <row r="762" spans="8:8" ht="15.1">
      <c r="A762" s="3">
        <v>44612.0</v>
      </c>
      <c r="B762" s="2">
        <v>1935242.0</v>
      </c>
      <c r="C762" s="2">
        <v>28974.0</v>
      </c>
      <c r="D762" s="2">
        <f>_xlfn.IFERROR(B762-B761,0)</f>
        <v>1951.0</v>
      </c>
      <c r="E762" s="2">
        <f>_xlfn.IFERROR(C762-C761,0)</f>
        <v>9.0</v>
      </c>
      <c r="F762" s="1">
        <f>INT((A762-DATE(2020,1,22))/7)+1</f>
        <v>109.0</v>
      </c>
      <c r="G762" s="1" t="str">
        <f>"Week_"&amp;F762</f>
        <v>Week_109</v>
      </c>
    </row>
    <row r="763" spans="8:8" ht="15.1">
      <c r="A763" s="3">
        <v>44613.0</v>
      </c>
      <c r="B763" s="2">
        <v>1936837.0</v>
      </c>
      <c r="C763" s="2">
        <v>28990.0</v>
      </c>
      <c r="D763" s="2">
        <f>_xlfn.IFERROR(B763-B762,0)</f>
        <v>1595.0</v>
      </c>
      <c r="E763" s="2">
        <f>_xlfn.IFERROR(C763-C762,0)</f>
        <v>16.0</v>
      </c>
      <c r="F763" s="1">
        <f>INT((A763-DATE(2020,1,22))/7)+1</f>
        <v>109.0</v>
      </c>
      <c r="G763" s="1" t="str">
        <f>"Week_"&amp;F763</f>
        <v>Week_109</v>
      </c>
    </row>
    <row r="764" spans="8:8" ht="15.1">
      <c r="A764" s="3">
        <v>44614.0</v>
      </c>
      <c r="B764" s="2">
        <v>1938135.0</v>
      </c>
      <c r="C764" s="2">
        <v>28995.0</v>
      </c>
      <c r="D764" s="2">
        <f>_xlfn.IFERROR(B764-B763,0)</f>
        <v>1298.0</v>
      </c>
      <c r="E764" s="2">
        <f>_xlfn.IFERROR(C764-C763,0)</f>
        <v>5.0</v>
      </c>
      <c r="F764" s="1">
        <f>INT((A764-DATE(2020,1,22))/7)+1</f>
        <v>109.0</v>
      </c>
      <c r="G764" s="1" t="str">
        <f>"Week_"&amp;F764</f>
        <v>Week_109</v>
      </c>
    </row>
    <row r="765" spans="8:8" ht="15.1">
      <c r="A765" s="3">
        <v>44615.0</v>
      </c>
      <c r="B765" s="2">
        <v>1939651.0</v>
      </c>
      <c r="C765" s="2">
        <v>29005.0</v>
      </c>
      <c r="D765" s="2">
        <f>_xlfn.IFERROR(B765-B764,0)</f>
        <v>1516.0</v>
      </c>
      <c r="E765" s="2">
        <f>_xlfn.IFERROR(C765-C764,0)</f>
        <v>10.0</v>
      </c>
      <c r="F765" s="1">
        <f>INT((A765-DATE(2020,1,22))/7)+1</f>
        <v>110.0</v>
      </c>
      <c r="G765" s="1" t="str">
        <f>"Week_"&amp;F765</f>
        <v>Week_110</v>
      </c>
    </row>
    <row r="766" spans="8:8" ht="15.1">
      <c r="A766" s="3">
        <v>44616.0</v>
      </c>
      <c r="B766" s="2">
        <v>1941057.0</v>
      </c>
      <c r="C766" s="2">
        <v>29016.0</v>
      </c>
      <c r="D766" s="2">
        <f>_xlfn.IFERROR(B766-B765,0)</f>
        <v>1406.0</v>
      </c>
      <c r="E766" s="2">
        <f>_xlfn.IFERROR(C766-C765,0)</f>
        <v>11.0</v>
      </c>
      <c r="F766" s="1">
        <f>INT((A766-DATE(2020,1,22))/7)+1</f>
        <v>110.0</v>
      </c>
      <c r="G766" s="1" t="str">
        <f>"Week_"&amp;F766</f>
        <v>Week_110</v>
      </c>
    </row>
    <row r="767" spans="8:8" ht="15.1">
      <c r="A767" s="3">
        <v>44617.0</v>
      </c>
      <c r="B767" s="2">
        <v>1941816.0</v>
      </c>
      <c r="C767" s="2">
        <v>29024.0</v>
      </c>
      <c r="D767" s="2">
        <f>_xlfn.IFERROR(B767-B766,0)</f>
        <v>759.0</v>
      </c>
      <c r="E767" s="2">
        <f>_xlfn.IFERROR(C767-C766,0)</f>
        <v>8.0</v>
      </c>
      <c r="F767" s="1">
        <f>INT((A767-DATE(2020,1,22))/7)+1</f>
        <v>110.0</v>
      </c>
      <c r="G767" s="1" t="str">
        <f>"Week_"&amp;F767</f>
        <v>Week_110</v>
      </c>
    </row>
    <row r="768" spans="8:8" ht="15.1">
      <c r="A768" s="3">
        <v>44618.0</v>
      </c>
      <c r="B768" s="2">
        <v>1942680.0</v>
      </c>
      <c r="C768" s="2">
        <v>29033.0</v>
      </c>
      <c r="D768" s="2">
        <f>_xlfn.IFERROR(B768-B767,0)</f>
        <v>864.0</v>
      </c>
      <c r="E768" s="2">
        <f>_xlfn.IFERROR(C768-C767,0)</f>
        <v>9.0</v>
      </c>
      <c r="F768" s="1">
        <f>INT((A768-DATE(2020,1,22))/7)+1</f>
        <v>110.0</v>
      </c>
      <c r="G768" s="1" t="str">
        <f>"Week_"&amp;F768</f>
        <v>Week_110</v>
      </c>
    </row>
    <row r="769" spans="8:8" ht="15.1">
      <c r="A769" s="3">
        <v>44619.0</v>
      </c>
      <c r="B769" s="2">
        <v>1943577.0</v>
      </c>
      <c r="C769" s="2">
        <v>29037.0</v>
      </c>
      <c r="D769" s="2">
        <f>_xlfn.IFERROR(B769-B768,0)</f>
        <v>897.0</v>
      </c>
      <c r="E769" s="2">
        <f>_xlfn.IFERROR(C769-C768,0)</f>
        <v>4.0</v>
      </c>
      <c r="F769" s="1">
        <f>INT((A769-DATE(2020,1,22))/7)+1</f>
        <v>110.0</v>
      </c>
      <c r="G769" s="1" t="str">
        <f>"Week_"&amp;F769</f>
        <v>Week_110</v>
      </c>
    </row>
    <row r="770" spans="8:8" ht="15.1">
      <c r="A770" s="3">
        <v>44620.0</v>
      </c>
      <c r="B770" s="2">
        <v>1944376.0</v>
      </c>
      <c r="C770" s="2">
        <v>29045.0</v>
      </c>
      <c r="D770" s="2">
        <f>_xlfn.IFERROR(B770-B769,0)</f>
        <v>799.0</v>
      </c>
      <c r="E770" s="2">
        <f>_xlfn.IFERROR(C770-C769,0)</f>
        <v>8.0</v>
      </c>
      <c r="F770" s="1">
        <f>INT((A770-DATE(2020,1,22))/7)+1</f>
        <v>110.0</v>
      </c>
      <c r="G770" s="1" t="str">
        <f>"Week_"&amp;F770</f>
        <v>Week_110</v>
      </c>
    </row>
    <row r="771" spans="8:8" ht="15.1">
      <c r="A771" s="3">
        <v>44621.0</v>
      </c>
      <c r="B771" s="2">
        <v>1945108.0</v>
      </c>
      <c r="C771" s="2">
        <v>29053.0</v>
      </c>
      <c r="D771" s="2">
        <f>_xlfn.IFERROR(B771-B770,0)</f>
        <v>732.0</v>
      </c>
      <c r="E771" s="2">
        <f>_xlfn.IFERROR(C771-C770,0)</f>
        <v>8.0</v>
      </c>
      <c r="F771" s="1">
        <f>INT((A771-DATE(2020,1,22))/7)+1</f>
        <v>110.0</v>
      </c>
      <c r="G771" s="1" t="str">
        <f>"Week_"&amp;F771</f>
        <v>Week_110</v>
      </c>
    </row>
    <row r="772" spans="8:8" ht="15.1">
      <c r="A772" s="3">
        <v>44622.0</v>
      </c>
      <c r="B772" s="2">
        <v>1945765.0</v>
      </c>
      <c r="C772" s="2">
        <v>29058.0</v>
      </c>
      <c r="D772" s="2">
        <f>_xlfn.IFERROR(B772-B771,0)</f>
        <v>657.0</v>
      </c>
      <c r="E772" s="2">
        <f>_xlfn.IFERROR(C772-C771,0)</f>
        <v>5.0</v>
      </c>
      <c r="F772" s="1">
        <f>INT((A772-DATE(2020,1,22))/7)+1</f>
        <v>111.0</v>
      </c>
      <c r="G772" s="1" t="str">
        <f>"Week_"&amp;F772</f>
        <v>Week_111</v>
      </c>
    </row>
    <row r="773" spans="8:8" ht="15.1">
      <c r="A773" s="3">
        <v>44623.0</v>
      </c>
      <c r="B773" s="2">
        <v>1946369.0</v>
      </c>
      <c r="C773" s="2">
        <v>29064.0</v>
      </c>
      <c r="D773" s="2">
        <f>_xlfn.IFERROR(B773-B772,0)</f>
        <v>604.0</v>
      </c>
      <c r="E773" s="2">
        <f>_xlfn.IFERROR(C773-C772,0)</f>
        <v>6.0</v>
      </c>
      <c r="F773" s="1">
        <f>INT((A773-DATE(2020,1,22))/7)+1</f>
        <v>111.0</v>
      </c>
      <c r="G773" s="1" t="str">
        <f>"Week_"&amp;F773</f>
        <v>Week_111</v>
      </c>
    </row>
    <row r="774" spans="8:8" ht="15.1">
      <c r="A774" s="3">
        <v>44624.0</v>
      </c>
      <c r="B774" s="2">
        <v>1946737.0</v>
      </c>
      <c r="C774" s="2">
        <v>29077.0</v>
      </c>
      <c r="D774" s="2">
        <f>_xlfn.IFERROR(B774-B773,0)</f>
        <v>368.0</v>
      </c>
      <c r="E774" s="2">
        <f>_xlfn.IFERROR(C774-C773,0)</f>
        <v>13.0</v>
      </c>
      <c r="F774" s="1">
        <f>INT((A774-DATE(2020,1,22))/7)+1</f>
        <v>111.0</v>
      </c>
      <c r="G774" s="1" t="str">
        <f>"Week_"&amp;F774</f>
        <v>Week_111</v>
      </c>
    </row>
    <row r="775" spans="8:8" ht="15.1">
      <c r="A775" s="3">
        <v>44625.0</v>
      </c>
      <c r="B775" s="2">
        <v>1947266.0</v>
      </c>
      <c r="C775" s="2">
        <v>29085.0</v>
      </c>
      <c r="D775" s="2">
        <f>_xlfn.IFERROR(B775-B774,0)</f>
        <v>529.0</v>
      </c>
      <c r="E775" s="2">
        <f>_xlfn.IFERROR(C775-C774,0)</f>
        <v>8.0</v>
      </c>
      <c r="F775" s="1">
        <f>INT((A775-DATE(2020,1,22))/7)+1</f>
        <v>111.0</v>
      </c>
      <c r="G775" s="1" t="str">
        <f>"Week_"&amp;F775</f>
        <v>Week_111</v>
      </c>
    </row>
    <row r="776" spans="8:8" ht="15.1">
      <c r="A776" s="3">
        <v>44626.0</v>
      </c>
      <c r="B776" s="2">
        <v>1947702.0</v>
      </c>
      <c r="C776" s="2">
        <v>29089.0</v>
      </c>
      <c r="D776" s="2">
        <f>_xlfn.IFERROR(B776-B775,0)</f>
        <v>436.0</v>
      </c>
      <c r="E776" s="2">
        <f>_xlfn.IFERROR(C776-C775,0)</f>
        <v>4.0</v>
      </c>
      <c r="F776" s="1">
        <f>INT((A776-DATE(2020,1,22))/7)+1</f>
        <v>111.0</v>
      </c>
      <c r="G776" s="1" t="str">
        <f>"Week_"&amp;F776</f>
        <v>Week_111</v>
      </c>
    </row>
    <row r="777" spans="8:8" ht="15.1">
      <c r="A777" s="3">
        <v>44627.0</v>
      </c>
      <c r="B777" s="2">
        <v>1948148.0</v>
      </c>
      <c r="C777" s="2">
        <v>29096.0</v>
      </c>
      <c r="D777" s="2">
        <f>_xlfn.IFERROR(B777-B776,0)</f>
        <v>446.0</v>
      </c>
      <c r="E777" s="2">
        <f>_xlfn.IFERROR(C777-C776,0)</f>
        <v>7.0</v>
      </c>
      <c r="F777" s="1">
        <f>INT((A777-DATE(2020,1,22))/7)+1</f>
        <v>111.0</v>
      </c>
      <c r="G777" s="1" t="str">
        <f>"Week_"&amp;F777</f>
        <v>Week_111</v>
      </c>
    </row>
    <row r="778" spans="8:8" ht="15.1">
      <c r="A778" s="3">
        <v>44628.0</v>
      </c>
      <c r="B778" s="2">
        <v>1948471.0</v>
      </c>
      <c r="C778" s="2">
        <v>29097.0</v>
      </c>
      <c r="D778" s="2">
        <f>_xlfn.IFERROR(B778-B777,0)</f>
        <v>323.0</v>
      </c>
      <c r="E778" s="2">
        <f>_xlfn.IFERROR(C778-C777,0)</f>
        <v>1.0</v>
      </c>
      <c r="F778" s="1">
        <f>INT((A778-DATE(2020,1,22))/7)+1</f>
        <v>111.0</v>
      </c>
      <c r="G778" s="1" t="str">
        <f>"Week_"&amp;F778</f>
        <v>Week_111</v>
      </c>
    </row>
    <row r="779" spans="8:8" ht="15.1">
      <c r="A779" s="3">
        <v>44629.0</v>
      </c>
      <c r="B779" s="2">
        <v>1948798.0</v>
      </c>
      <c r="C779" s="2">
        <v>29100.0</v>
      </c>
      <c r="D779" s="2">
        <f>_xlfn.IFERROR(B779-B778,0)</f>
        <v>327.0</v>
      </c>
      <c r="E779" s="2">
        <f>_xlfn.IFERROR(C779-C778,0)</f>
        <v>3.0</v>
      </c>
      <c r="F779" s="1">
        <f>INT((A779-DATE(2020,1,22))/7)+1</f>
        <v>112.0</v>
      </c>
      <c r="G779" s="1" t="str">
        <f>"Week_"&amp;F779</f>
        <v>Week_112</v>
      </c>
    </row>
    <row r="780" spans="8:8" ht="15.1">
      <c r="A780" s="3">
        <v>44630.0</v>
      </c>
      <c r="B780" s="2">
        <v>1949055.0</v>
      </c>
      <c r="C780" s="2">
        <v>29105.0</v>
      </c>
      <c r="D780" s="2">
        <f>_xlfn.IFERROR(B780-B779,0)</f>
        <v>257.0</v>
      </c>
      <c r="E780" s="2">
        <f>_xlfn.IFERROR(C780-C779,0)</f>
        <v>5.0</v>
      </c>
      <c r="F780" s="1">
        <f>INT((A780-DATE(2020,1,22))/7)+1</f>
        <v>112.0</v>
      </c>
      <c r="G780" s="1" t="str">
        <f>"Week_"&amp;F780</f>
        <v>Week_112</v>
      </c>
    </row>
    <row r="781" spans="8:8" ht="15.1">
      <c r="A781" s="3">
        <v>44631.0</v>
      </c>
      <c r="B781" s="2">
        <v>1949253.0</v>
      </c>
      <c r="C781" s="2">
        <v>29108.0</v>
      </c>
      <c r="D781" s="2">
        <f>_xlfn.IFERROR(B781-B780,0)</f>
        <v>198.0</v>
      </c>
      <c r="E781" s="2">
        <f>_xlfn.IFERROR(C781-C780,0)</f>
        <v>3.0</v>
      </c>
      <c r="F781" s="1">
        <f>INT((A781-DATE(2020,1,22))/7)+1</f>
        <v>112.0</v>
      </c>
      <c r="G781" s="1" t="str">
        <f>"Week_"&amp;F781</f>
        <v>Week_112</v>
      </c>
    </row>
    <row r="782" spans="8:8" ht="15.1">
      <c r="A782" s="3">
        <v>44632.0</v>
      </c>
      <c r="B782" s="2">
        <v>1949486.0</v>
      </c>
      <c r="C782" s="2">
        <v>29111.0</v>
      </c>
      <c r="D782" s="2">
        <f>_xlfn.IFERROR(B782-B781,0)</f>
        <v>233.0</v>
      </c>
      <c r="E782" s="2">
        <f>_xlfn.IFERROR(C782-C781,0)</f>
        <v>3.0</v>
      </c>
      <c r="F782" s="1">
        <f>INT((A782-DATE(2020,1,22))/7)+1</f>
        <v>112.0</v>
      </c>
      <c r="G782" s="1" t="str">
        <f>"Week_"&amp;F782</f>
        <v>Week_112</v>
      </c>
    </row>
    <row r="783" spans="8:8" ht="15.1">
      <c r="A783" s="3">
        <v>44633.0</v>
      </c>
      <c r="B783" s="2">
        <v>1949725.0</v>
      </c>
      <c r="C783" s="2">
        <v>29112.0</v>
      </c>
      <c r="D783" s="2">
        <f>_xlfn.IFERROR(B783-B782,0)</f>
        <v>239.0</v>
      </c>
      <c r="E783" s="2">
        <f>_xlfn.IFERROR(C783-C782,0)</f>
        <v>1.0</v>
      </c>
      <c r="F783" s="1">
        <f>INT((A783-DATE(2020,1,22))/7)+1</f>
        <v>112.0</v>
      </c>
      <c r="G783" s="1" t="str">
        <f>"Week_"&amp;F783</f>
        <v>Week_112</v>
      </c>
    </row>
    <row r="784" spans="8:8" ht="15.1">
      <c r="A784" s="3">
        <v>44634.0</v>
      </c>
      <c r="B784" s="2">
        <v>1949942.0</v>
      </c>
      <c r="C784" s="2">
        <v>29112.0</v>
      </c>
      <c r="D784" s="2">
        <f>_xlfn.IFERROR(B784-B783,0)</f>
        <v>217.0</v>
      </c>
      <c r="E784" s="2">
        <f>_xlfn.IFERROR(C784-C783,0)</f>
        <v>0.0</v>
      </c>
      <c r="F784" s="1">
        <f>INT((A784-DATE(2020,1,22))/7)+1</f>
        <v>112.0</v>
      </c>
      <c r="G784" s="1" t="str">
        <f>"Week_"&amp;F784</f>
        <v>Week_112</v>
      </c>
    </row>
    <row r="785" spans="8:8" ht="15.1">
      <c r="A785" s="3">
        <v>44635.0</v>
      </c>
      <c r="B785" s="2">
        <v>1950124.0</v>
      </c>
      <c r="C785" s="2">
        <v>29112.0</v>
      </c>
      <c r="D785" s="2">
        <f>_xlfn.IFERROR(B785-B784,0)</f>
        <v>182.0</v>
      </c>
      <c r="E785" s="2">
        <f>_xlfn.IFERROR(C785-C784,0)</f>
        <v>0.0</v>
      </c>
      <c r="F785" s="1">
        <f>INT((A785-DATE(2020,1,22))/7)+1</f>
        <v>112.0</v>
      </c>
      <c r="G785" s="1" t="str">
        <f>"Week_"&amp;F785</f>
        <v>Week_112</v>
      </c>
    </row>
    <row r="786" spans="8:8" ht="15.1">
      <c r="A786" s="3">
        <v>44636.0</v>
      </c>
      <c r="B786" s="2">
        <v>1950357.0</v>
      </c>
      <c r="C786" s="2">
        <v>29112.0</v>
      </c>
      <c r="D786" s="2">
        <f>_xlfn.IFERROR(B786-B785,0)</f>
        <v>233.0</v>
      </c>
      <c r="E786" s="2">
        <f>_xlfn.IFERROR(C786-C785,0)</f>
        <v>0.0</v>
      </c>
      <c r="F786" s="1">
        <f>INT((A786-DATE(2020,1,22))/7)+1</f>
        <v>113.0</v>
      </c>
      <c r="G786" s="1" t="str">
        <f>"Week_"&amp;F786</f>
        <v>Week_113</v>
      </c>
    </row>
    <row r="787" spans="8:8" ht="15.1">
      <c r="A787" s="3">
        <v>44637.0</v>
      </c>
      <c r="B787" s="2">
        <v>1950465.0</v>
      </c>
      <c r="C787" s="2">
        <v>29114.0</v>
      </c>
      <c r="D787" s="2">
        <f>_xlfn.IFERROR(B787-B786,0)</f>
        <v>108.0</v>
      </c>
      <c r="E787" s="2">
        <f>_xlfn.IFERROR(C787-C786,0)</f>
        <v>2.0</v>
      </c>
      <c r="F787" s="1">
        <f>INT((A787-DATE(2020,1,22))/7)+1</f>
        <v>113.0</v>
      </c>
      <c r="G787" s="1" t="str">
        <f>"Week_"&amp;F787</f>
        <v>Week_113</v>
      </c>
    </row>
    <row r="788" spans="8:8" ht="15.1">
      <c r="A788" s="3">
        <v>44638.0</v>
      </c>
      <c r="B788" s="2">
        <v>1950527.0</v>
      </c>
      <c r="C788" s="2">
        <v>29114.0</v>
      </c>
      <c r="D788" s="2">
        <f>_xlfn.IFERROR(B788-B787,0)</f>
        <v>62.0</v>
      </c>
      <c r="E788" s="2">
        <f>_xlfn.IFERROR(C788-C787,0)</f>
        <v>0.0</v>
      </c>
      <c r="F788" s="1">
        <f>INT((A788-DATE(2020,1,22))/7)+1</f>
        <v>113.0</v>
      </c>
      <c r="G788" s="1" t="str">
        <f>"Week_"&amp;F788</f>
        <v>Week_113</v>
      </c>
    </row>
    <row r="789" spans="8:8" ht="15.1">
      <c r="A789" s="3">
        <v>44639.0</v>
      </c>
      <c r="B789" s="2">
        <v>1950609.0</v>
      </c>
      <c r="C789" s="2">
        <v>29117.0</v>
      </c>
      <c r="D789" s="2">
        <f>_xlfn.IFERROR(B789-B788,0)</f>
        <v>82.0</v>
      </c>
      <c r="E789" s="2">
        <f>_xlfn.IFERROR(C789-C788,0)</f>
        <v>3.0</v>
      </c>
      <c r="F789" s="1">
        <f>INT((A789-DATE(2020,1,22))/7)+1</f>
        <v>113.0</v>
      </c>
      <c r="G789" s="1" t="str">
        <f>"Week_"&amp;F789</f>
        <v>Week_113</v>
      </c>
    </row>
    <row r="790" spans="8:8" ht="15.1">
      <c r="A790" s="3">
        <v>44640.0</v>
      </c>
      <c r="B790" s="2">
        <v>1950725.0</v>
      </c>
      <c r="C790" s="2">
        <v>29117.0</v>
      </c>
      <c r="D790" s="2">
        <f>_xlfn.IFERROR(B790-B789,0)</f>
        <v>116.0</v>
      </c>
      <c r="E790" s="2">
        <f>_xlfn.IFERROR(C790-C789,0)</f>
        <v>0.0</v>
      </c>
      <c r="F790" s="1">
        <f>INT((A790-DATE(2020,1,22))/7)+1</f>
        <v>113.0</v>
      </c>
      <c r="G790" s="1" t="str">
        <f>"Week_"&amp;F790</f>
        <v>Week_113</v>
      </c>
    </row>
    <row r="791" spans="8:8" ht="15.1">
      <c r="A791" s="3">
        <v>44641.0</v>
      </c>
      <c r="B791" s="2">
        <v>1950846.0</v>
      </c>
      <c r="C791" s="2">
        <v>29117.0</v>
      </c>
      <c r="D791" s="2">
        <f>_xlfn.IFERROR(B791-B790,0)</f>
        <v>121.0</v>
      </c>
      <c r="E791" s="2">
        <f>_xlfn.IFERROR(C791-C790,0)</f>
        <v>0.0</v>
      </c>
      <c r="F791" s="1">
        <f>INT((A791-DATE(2020,1,22))/7)+1</f>
        <v>113.0</v>
      </c>
      <c r="G791" s="1" t="str">
        <f>"Week_"&amp;F791</f>
        <v>Week_113</v>
      </c>
    </row>
    <row r="792" spans="8:8" ht="15.1">
      <c r="A792" s="3">
        <v>44642.0</v>
      </c>
      <c r="B792" s="2">
        <v>1950980.0</v>
      </c>
      <c r="C792" s="2">
        <v>29118.0</v>
      </c>
      <c r="D792" s="2">
        <f>_xlfn.IFERROR(B792-B791,0)</f>
        <v>134.0</v>
      </c>
      <c r="E792" s="2">
        <f>_xlfn.IFERROR(C792-C791,0)</f>
        <v>1.0</v>
      </c>
      <c r="F792" s="1">
        <f>INT((A792-DATE(2020,1,22))/7)+1</f>
        <v>113.0</v>
      </c>
      <c r="G792" s="1" t="str">
        <f>"Week_"&amp;F792</f>
        <v>Week_113</v>
      </c>
    </row>
    <row r="793" spans="8:8" ht="15.1">
      <c r="A793" s="3">
        <v>44643.0</v>
      </c>
      <c r="B793" s="2">
        <v>1951072.0</v>
      </c>
      <c r="C793" s="2">
        <v>29118.0</v>
      </c>
      <c r="D793" s="2">
        <f>_xlfn.IFERROR(B793-B792,0)</f>
        <v>92.0</v>
      </c>
      <c r="E793" s="2">
        <f>_xlfn.IFERROR(C793-C792,0)</f>
        <v>0.0</v>
      </c>
      <c r="F793" s="1">
        <f>INT((A793-DATE(2020,1,22))/7)+1</f>
        <v>114.0</v>
      </c>
      <c r="G793" s="1" t="str">
        <f>"Week_"&amp;F793</f>
        <v>Week_114</v>
      </c>
    </row>
    <row r="794" spans="8:8" ht="15.1">
      <c r="A794" s="3">
        <v>44644.0</v>
      </c>
      <c r="B794" s="2">
        <v>1951174.0</v>
      </c>
      <c r="C794" s="2">
        <v>29118.0</v>
      </c>
      <c r="D794" s="2">
        <f>_xlfn.IFERROR(B794-B793,0)</f>
        <v>102.0</v>
      </c>
      <c r="E794" s="2">
        <f>_xlfn.IFERROR(C794-C793,0)</f>
        <v>0.0</v>
      </c>
      <c r="F794" s="1">
        <f>INT((A794-DATE(2020,1,22))/7)+1</f>
        <v>114.0</v>
      </c>
      <c r="G794" s="1" t="str">
        <f>"Week_"&amp;F794</f>
        <v>Week_114</v>
      </c>
    </row>
    <row r="795" spans="8:8" ht="15.1">
      <c r="A795" s="3">
        <v>44645.0</v>
      </c>
      <c r="B795" s="2">
        <v>1951239.0</v>
      </c>
      <c r="C795" s="2">
        <v>29118.0</v>
      </c>
      <c r="D795" s="2">
        <f>_xlfn.IFERROR(B795-B794,0)</f>
        <v>65.0</v>
      </c>
      <c r="E795" s="2">
        <f>_xlfn.IFERROR(C795-C794,0)</f>
        <v>0.0</v>
      </c>
      <c r="F795" s="1">
        <f>INT((A795-DATE(2020,1,22))/7)+1</f>
        <v>114.0</v>
      </c>
      <c r="G795" s="1" t="str">
        <f>"Week_"&amp;F795</f>
        <v>Week_114</v>
      </c>
    </row>
    <row r="796" spans="8:8" ht="15.1">
      <c r="A796" s="3">
        <v>44646.0</v>
      </c>
      <c r="B796" s="2">
        <v>1951282.0</v>
      </c>
      <c r="C796" s="2">
        <v>29118.0</v>
      </c>
      <c r="D796" s="2">
        <f>_xlfn.IFERROR(B796-B795,0)</f>
        <v>43.0</v>
      </c>
      <c r="E796" s="2">
        <f>_xlfn.IFERROR(C796-C795,0)</f>
        <v>0.0</v>
      </c>
      <c r="F796" s="1">
        <f>INT((A796-DATE(2020,1,22))/7)+1</f>
        <v>114.0</v>
      </c>
      <c r="G796" s="1" t="str">
        <f>"Week_"&amp;F796</f>
        <v>Week_114</v>
      </c>
    </row>
    <row r="797" spans="8:8" ht="15.1">
      <c r="A797" s="3">
        <v>44647.0</v>
      </c>
      <c r="B797" s="2">
        <v>1951363.0</v>
      </c>
      <c r="C797" s="2">
        <v>29119.0</v>
      </c>
      <c r="D797" s="2">
        <f>_xlfn.IFERROR(B797-B796,0)</f>
        <v>81.0</v>
      </c>
      <c r="E797" s="2">
        <f>_xlfn.IFERROR(C797-C796,0)</f>
        <v>1.0</v>
      </c>
      <c r="F797" s="1">
        <f>INT((A797-DATE(2020,1,22))/7)+1</f>
        <v>114.0</v>
      </c>
      <c r="G797" s="1" t="str">
        <f>"Week_"&amp;F797</f>
        <v>Week_114</v>
      </c>
    </row>
    <row r="798" spans="8:8" ht="15.1">
      <c r="A798" s="3">
        <v>44648.0</v>
      </c>
      <c r="B798" s="2">
        <v>1951432.0</v>
      </c>
      <c r="C798" s="2">
        <v>29120.0</v>
      </c>
      <c r="D798" s="2">
        <f>_xlfn.IFERROR(B798-B797,0)</f>
        <v>69.0</v>
      </c>
      <c r="E798" s="2">
        <f>_xlfn.IFERROR(C798-C797,0)</f>
        <v>1.0</v>
      </c>
      <c r="F798" s="1">
        <f>INT((A798-DATE(2020,1,22))/7)+1</f>
        <v>114.0</v>
      </c>
      <c r="G798" s="1" t="str">
        <f>"Week_"&amp;F798</f>
        <v>Week_114</v>
      </c>
    </row>
    <row r="799" spans="8:8" ht="15.1">
      <c r="A799" s="3">
        <v>44649.0</v>
      </c>
      <c r="B799" s="2">
        <v>1951504.0</v>
      </c>
      <c r="C799" s="2">
        <v>29122.0</v>
      </c>
      <c r="D799" s="2">
        <f>_xlfn.IFERROR(B799-B798,0)</f>
        <v>72.0</v>
      </c>
      <c r="E799" s="2">
        <f>_xlfn.IFERROR(C799-C798,0)</f>
        <v>2.0</v>
      </c>
      <c r="F799" s="1">
        <f>INT((A799-DATE(2020,1,22))/7)+1</f>
        <v>114.0</v>
      </c>
      <c r="G799" s="1" t="str">
        <f>"Week_"&amp;F799</f>
        <v>Week_114</v>
      </c>
    </row>
    <row r="800" spans="8:8" ht="15.1">
      <c r="A800" s="3">
        <v>44650.0</v>
      </c>
      <c r="B800" s="2">
        <v>1951577.0</v>
      </c>
      <c r="C800" s="2">
        <v>29122.0</v>
      </c>
      <c r="D800" s="2">
        <f>_xlfn.IFERROR(B800-B799,0)</f>
        <v>73.0</v>
      </c>
      <c r="E800" s="2">
        <f>_xlfn.IFERROR(C800-C799,0)</f>
        <v>0.0</v>
      </c>
      <c r="F800" s="1">
        <f>INT((A800-DATE(2020,1,22))/7)+1</f>
        <v>115.0</v>
      </c>
      <c r="G800" s="1" t="str">
        <f>"Week_"&amp;F800</f>
        <v>Week_115</v>
      </c>
    </row>
    <row r="801" spans="8:8" ht="15.1">
      <c r="A801" s="3">
        <v>44651.0</v>
      </c>
      <c r="B801" s="2">
        <v>1951658.0</v>
      </c>
      <c r="C801" s="2">
        <v>29122.0</v>
      </c>
      <c r="D801" s="2">
        <f>_xlfn.IFERROR(B801-B800,0)</f>
        <v>81.0</v>
      </c>
      <c r="E801" s="2">
        <f>_xlfn.IFERROR(C801-C800,0)</f>
        <v>0.0</v>
      </c>
      <c r="F801" s="1">
        <f>INT((A801-DATE(2020,1,22))/7)+1</f>
        <v>115.0</v>
      </c>
      <c r="G801" s="1" t="str">
        <f>"Week_"&amp;F801</f>
        <v>Week_115</v>
      </c>
    </row>
    <row r="802" spans="8:8" ht="15.1">
      <c r="A802" s="3">
        <v>44652.0</v>
      </c>
      <c r="B802" s="2">
        <v>1951714.0</v>
      </c>
      <c r="C802" s="2">
        <v>29122.0</v>
      </c>
      <c r="D802" s="2">
        <f>_xlfn.IFERROR(B802-B801,0)</f>
        <v>56.0</v>
      </c>
      <c r="E802" s="2">
        <f>_xlfn.IFERROR(C802-C801,0)</f>
        <v>0.0</v>
      </c>
      <c r="F802" s="1">
        <f>INT((A802-DATE(2020,1,22))/7)+1</f>
        <v>115.0</v>
      </c>
      <c r="G802" s="1" t="str">
        <f>"Week_"&amp;F802</f>
        <v>Week_115</v>
      </c>
    </row>
    <row r="803" spans="8:8" ht="15.1">
      <c r="A803" s="3">
        <v>44653.0</v>
      </c>
      <c r="B803" s="2">
        <v>1951770.0</v>
      </c>
      <c r="C803" s="2">
        <v>29122.0</v>
      </c>
      <c r="D803" s="2">
        <f>_xlfn.IFERROR(B803-B802,0)</f>
        <v>56.0</v>
      </c>
      <c r="E803" s="2">
        <f>_xlfn.IFERROR(C803-C802,0)</f>
        <v>0.0</v>
      </c>
      <c r="F803" s="1">
        <f>INT((A803-DATE(2020,1,22))/7)+1</f>
        <v>115.0</v>
      </c>
      <c r="G803" s="1" t="str">
        <f>"Week_"&amp;F803</f>
        <v>Week_115</v>
      </c>
    </row>
    <row r="804" spans="8:8" ht="15.1">
      <c r="A804" s="3">
        <v>44654.0</v>
      </c>
      <c r="B804" s="2">
        <v>1951831.0</v>
      </c>
      <c r="C804" s="2">
        <v>29123.0</v>
      </c>
      <c r="D804" s="2">
        <f>_xlfn.IFERROR(B804-B803,0)</f>
        <v>61.0</v>
      </c>
      <c r="E804" s="2">
        <f>_xlfn.IFERROR(C804-C803,0)</f>
        <v>1.0</v>
      </c>
      <c r="F804" s="1">
        <f>INT((A804-DATE(2020,1,22))/7)+1</f>
        <v>115.0</v>
      </c>
      <c r="G804" s="1" t="str">
        <f>"Week_"&amp;F804</f>
        <v>Week_115</v>
      </c>
    </row>
    <row r="805" spans="8:8" ht="15.1">
      <c r="A805" s="3">
        <v>44655.0</v>
      </c>
      <c r="B805" s="2">
        <v>1951867.0</v>
      </c>
      <c r="C805" s="2">
        <v>29123.0</v>
      </c>
      <c r="D805" s="2">
        <f>_xlfn.IFERROR(B805-B804,0)</f>
        <v>36.0</v>
      </c>
      <c r="E805" s="2">
        <f>_xlfn.IFERROR(C805-C804,0)</f>
        <v>0.0</v>
      </c>
      <c r="F805" s="1">
        <f>INT((A805-DATE(2020,1,22))/7)+1</f>
        <v>115.0</v>
      </c>
      <c r="G805" s="1" t="str">
        <f>"Week_"&amp;F805</f>
        <v>Week_115</v>
      </c>
    </row>
    <row r="806" spans="8:8" ht="15.1">
      <c r="A806" s="3">
        <v>44656.0</v>
      </c>
      <c r="B806" s="2">
        <v>1951903.0</v>
      </c>
      <c r="C806" s="2">
        <v>29123.0</v>
      </c>
      <c r="D806" s="2">
        <f>_xlfn.IFERROR(B806-B805,0)</f>
        <v>36.0</v>
      </c>
      <c r="E806" s="2">
        <f>_xlfn.IFERROR(C806-C805,0)</f>
        <v>0.0</v>
      </c>
      <c r="F806" s="1">
        <f>INT((A806-DATE(2020,1,22))/7)+1</f>
        <v>115.0</v>
      </c>
      <c r="G806" s="1" t="str">
        <f>"Week_"&amp;F806</f>
        <v>Week_115</v>
      </c>
    </row>
    <row r="807" spans="8:8" ht="15.1">
      <c r="A807" s="3">
        <v>44657.0</v>
      </c>
      <c r="B807" s="2">
        <v>1951947.0</v>
      </c>
      <c r="C807" s="2">
        <v>29123.0</v>
      </c>
      <c r="D807" s="2">
        <f>_xlfn.IFERROR(B807-B806,0)</f>
        <v>44.0</v>
      </c>
      <c r="E807" s="2">
        <f>_xlfn.IFERROR(C807-C806,0)</f>
        <v>0.0</v>
      </c>
      <c r="F807" s="1">
        <f>INT((A807-DATE(2020,1,22))/7)+1</f>
        <v>116.0</v>
      </c>
      <c r="G807" s="1" t="str">
        <f>"Week_"&amp;F807</f>
        <v>Week_116</v>
      </c>
    </row>
    <row r="808" spans="8:8" ht="15.1">
      <c r="A808" s="3">
        <v>44658.0</v>
      </c>
      <c r="B808" s="2">
        <v>1951995.0</v>
      </c>
      <c r="C808" s="2">
        <v>29123.0</v>
      </c>
      <c r="D808" s="2">
        <f>_xlfn.IFERROR(B808-B807,0)</f>
        <v>48.0</v>
      </c>
      <c r="E808" s="2">
        <f>_xlfn.IFERROR(C808-C807,0)</f>
        <v>0.0</v>
      </c>
      <c r="F808" s="1">
        <f>INT((A808-DATE(2020,1,22))/7)+1</f>
        <v>116.0</v>
      </c>
      <c r="G808" s="1" t="str">
        <f>"Week_"&amp;F808</f>
        <v>Week_116</v>
      </c>
    </row>
    <row r="809" spans="8:8" ht="15.1">
      <c r="A809" s="3">
        <v>44659.0</v>
      </c>
      <c r="B809" s="2">
        <v>1952023.0</v>
      </c>
      <c r="C809" s="2">
        <v>29123.0</v>
      </c>
      <c r="D809" s="2">
        <f>_xlfn.IFERROR(B809-B808,0)</f>
        <v>28.0</v>
      </c>
      <c r="E809" s="2">
        <f>_xlfn.IFERROR(C809-C808,0)</f>
        <v>0.0</v>
      </c>
      <c r="F809" s="1">
        <f>INT((A809-DATE(2020,1,22))/7)+1</f>
        <v>116.0</v>
      </c>
      <c r="G809" s="1" t="str">
        <f>"Week_"&amp;F809</f>
        <v>Week_116</v>
      </c>
    </row>
    <row r="810" spans="8:8" ht="15.1">
      <c r="A810" s="3">
        <v>44660.0</v>
      </c>
      <c r="B810" s="2">
        <v>1952065.0</v>
      </c>
      <c r="C810" s="2">
        <v>29123.0</v>
      </c>
      <c r="D810" s="2">
        <f>_xlfn.IFERROR(B810-B809,0)</f>
        <v>42.0</v>
      </c>
      <c r="E810" s="2">
        <f>_xlfn.IFERROR(C810-C809,0)</f>
        <v>0.0</v>
      </c>
      <c r="F810" s="1">
        <f>INT((A810-DATE(2020,1,22))/7)+1</f>
        <v>116.0</v>
      </c>
      <c r="G810" s="1" t="str">
        <f>"Week_"&amp;F810</f>
        <v>Week_116</v>
      </c>
    </row>
    <row r="811" spans="8:8" ht="15.1">
      <c r="A811" s="3">
        <v>44661.0</v>
      </c>
      <c r="B811" s="2">
        <v>1952109.0</v>
      </c>
      <c r="C811" s="2">
        <v>29124.0</v>
      </c>
      <c r="D811" s="2">
        <f>_xlfn.IFERROR(B811-B810,0)</f>
        <v>44.0</v>
      </c>
      <c r="E811" s="2">
        <f>_xlfn.IFERROR(C811-C810,0)</f>
        <v>1.0</v>
      </c>
      <c r="F811" s="1">
        <f>INT((A811-DATE(2020,1,22))/7)+1</f>
        <v>116.0</v>
      </c>
      <c r="G811" s="1" t="str">
        <f>"Week_"&amp;F811</f>
        <v>Week_116</v>
      </c>
    </row>
    <row r="812" spans="8:8" ht="15.1">
      <c r="A812" s="3">
        <v>44662.0</v>
      </c>
      <c r="B812" s="2">
        <v>1952131.0</v>
      </c>
      <c r="C812" s="2">
        <v>29124.0</v>
      </c>
      <c r="D812" s="2">
        <f>_xlfn.IFERROR(B812-B811,0)</f>
        <v>22.0</v>
      </c>
      <c r="E812" s="2">
        <f>_xlfn.IFERROR(C812-C811,0)</f>
        <v>0.0</v>
      </c>
      <c r="F812" s="1">
        <f>INT((A812-DATE(2020,1,22))/7)+1</f>
        <v>116.0</v>
      </c>
      <c r="G812" s="1" t="str">
        <f>"Week_"&amp;F812</f>
        <v>Week_116</v>
      </c>
    </row>
    <row r="813" spans="8:8" ht="15.1">
      <c r="A813" s="3">
        <v>44663.0</v>
      </c>
      <c r="B813" s="2">
        <v>1952162.0</v>
      </c>
      <c r="C813" s="2">
        <v>29124.0</v>
      </c>
      <c r="D813" s="2">
        <f>_xlfn.IFERROR(B813-B812,0)</f>
        <v>31.0</v>
      </c>
      <c r="E813" s="2">
        <f>_xlfn.IFERROR(C813-C812,0)</f>
        <v>0.0</v>
      </c>
      <c r="F813" s="1">
        <f>INT((A813-DATE(2020,1,22))/7)+1</f>
        <v>116.0</v>
      </c>
      <c r="G813" s="1" t="str">
        <f>"Week_"&amp;F813</f>
        <v>Week_116</v>
      </c>
    </row>
    <row r="814" spans="8:8" ht="15.1">
      <c r="A814" s="3">
        <v>44664.0</v>
      </c>
      <c r="B814" s="2">
        <v>1952197.0</v>
      </c>
      <c r="C814" s="2">
        <v>29124.0</v>
      </c>
      <c r="D814" s="2">
        <f>_xlfn.IFERROR(B814-B813,0)</f>
        <v>35.0</v>
      </c>
      <c r="E814" s="2">
        <f>_xlfn.IFERROR(C814-C813,0)</f>
        <v>0.0</v>
      </c>
      <c r="F814" s="1">
        <f>INT((A814-DATE(2020,1,22))/7)+1</f>
        <v>117.0</v>
      </c>
      <c r="G814" s="1" t="str">
        <f>"Week_"&amp;F814</f>
        <v>Week_117</v>
      </c>
    </row>
    <row r="815" spans="8:8" ht="15.1">
      <c r="A815" s="3">
        <v>44665.0</v>
      </c>
      <c r="B815" s="2">
        <v>1952224.0</v>
      </c>
      <c r="C815" s="2">
        <v>29124.0</v>
      </c>
      <c r="D815" s="2">
        <f>_xlfn.IFERROR(B815-B814,0)</f>
        <v>27.0</v>
      </c>
      <c r="E815" s="2">
        <f>_xlfn.IFERROR(C815-C814,0)</f>
        <v>0.0</v>
      </c>
      <c r="F815" s="1">
        <f>INT((A815-DATE(2020,1,22))/7)+1</f>
        <v>117.0</v>
      </c>
      <c r="G815" s="1" t="str">
        <f>"Week_"&amp;F815</f>
        <v>Week_117</v>
      </c>
    </row>
    <row r="816" spans="8:8" ht="15.1">
      <c r="A816" s="3">
        <v>44666.0</v>
      </c>
      <c r="B816" s="2">
        <v>1952275.0</v>
      </c>
      <c r="C816" s="2">
        <v>29124.0</v>
      </c>
      <c r="D816" s="2">
        <f>_xlfn.IFERROR(B816-B815,0)</f>
        <v>51.0</v>
      </c>
      <c r="E816" s="2">
        <f>_xlfn.IFERROR(C816-C815,0)</f>
        <v>0.0</v>
      </c>
      <c r="F816" s="1">
        <f>INT((A816-DATE(2020,1,22))/7)+1</f>
        <v>117.0</v>
      </c>
      <c r="G816" s="1" t="str">
        <f>"Week_"&amp;F816</f>
        <v>Week_117</v>
      </c>
    </row>
    <row r="817" spans="8:8" ht="15.1">
      <c r="A817" s="3">
        <v>44667.0</v>
      </c>
      <c r="B817" s="2">
        <v>1952326.0</v>
      </c>
      <c r="C817" s="2">
        <v>29124.0</v>
      </c>
      <c r="D817" s="2">
        <f>_xlfn.IFERROR(B817-B816,0)</f>
        <v>51.0</v>
      </c>
      <c r="E817" s="2">
        <f>_xlfn.IFERROR(C817-C816,0)</f>
        <v>0.0</v>
      </c>
      <c r="F817" s="1">
        <f>INT((A817-DATE(2020,1,22))/7)+1</f>
        <v>117.0</v>
      </c>
      <c r="G817" s="1" t="str">
        <f>"Week_"&amp;F817</f>
        <v>Week_117</v>
      </c>
    </row>
    <row r="818" spans="8:8" ht="15.1">
      <c r="A818" s="3">
        <v>44668.0</v>
      </c>
      <c r="B818" s="2">
        <v>1952362.0</v>
      </c>
      <c r="C818" s="2">
        <v>29126.0</v>
      </c>
      <c r="D818" s="2">
        <f>_xlfn.IFERROR(B818-B817,0)</f>
        <v>36.0</v>
      </c>
      <c r="E818" s="2">
        <f>_xlfn.IFERROR(C818-C817,0)</f>
        <v>2.0</v>
      </c>
      <c r="F818" s="1">
        <f>INT((A818-DATE(2020,1,22))/7)+1</f>
        <v>117.0</v>
      </c>
      <c r="G818" s="1" t="str">
        <f>"Week_"&amp;F818</f>
        <v>Week_117</v>
      </c>
    </row>
    <row r="819" spans="8:8" ht="15.1">
      <c r="A819" s="3">
        <v>44669.0</v>
      </c>
      <c r="B819" s="2">
        <v>1952412.0</v>
      </c>
      <c r="C819" s="2">
        <v>29126.0</v>
      </c>
      <c r="D819" s="2">
        <f>_xlfn.IFERROR(B819-B818,0)</f>
        <v>50.0</v>
      </c>
      <c r="E819" s="2">
        <f>_xlfn.IFERROR(C819-C818,0)</f>
        <v>0.0</v>
      </c>
      <c r="F819" s="1">
        <f>INT((A819-DATE(2020,1,22))/7)+1</f>
        <v>117.0</v>
      </c>
      <c r="G819" s="1" t="str">
        <f>"Week_"&amp;F819</f>
        <v>Week_117</v>
      </c>
    </row>
    <row r="820" spans="8:8" ht="15.1">
      <c r="A820" s="3">
        <v>44670.0</v>
      </c>
      <c r="B820" s="2">
        <v>1952440.0</v>
      </c>
      <c r="C820" s="2">
        <v>29127.0</v>
      </c>
      <c r="D820" s="2">
        <f>_xlfn.IFERROR(B820-B819,0)</f>
        <v>28.0</v>
      </c>
      <c r="E820" s="2">
        <f>_xlfn.IFERROR(C820-C819,0)</f>
        <v>1.0</v>
      </c>
      <c r="F820" s="1">
        <f>INT((A820-DATE(2020,1,22))/7)+1</f>
        <v>117.0</v>
      </c>
      <c r="G820" s="1" t="str">
        <f>"Week_"&amp;F820</f>
        <v>Week_117</v>
      </c>
    </row>
    <row r="821" spans="8:8" ht="15.1">
      <c r="A821" s="3">
        <v>44671.0</v>
      </c>
      <c r="B821" s="2">
        <v>1952485.0</v>
      </c>
      <c r="C821" s="2">
        <v>29127.0</v>
      </c>
      <c r="D821" s="2">
        <f>_xlfn.IFERROR(B821-B820,0)</f>
        <v>45.0</v>
      </c>
      <c r="E821" s="2">
        <f>_xlfn.IFERROR(C821-C820,0)</f>
        <v>0.0</v>
      </c>
      <c r="F821" s="1">
        <f>INT((A821-DATE(2020,1,22))/7)+1</f>
        <v>118.0</v>
      </c>
      <c r="G821" s="1" t="str">
        <f>"Week_"&amp;F821</f>
        <v>Week_118</v>
      </c>
    </row>
    <row r="822" spans="8:8" ht="15.1">
      <c r="A822" s="3">
        <v>44672.0</v>
      </c>
      <c r="B822" s="2">
        <v>1952506.0</v>
      </c>
      <c r="C822" s="2">
        <v>29127.0</v>
      </c>
      <c r="D822" s="2">
        <f>_xlfn.IFERROR(B822-B821,0)</f>
        <v>21.0</v>
      </c>
      <c r="E822" s="2">
        <f>_xlfn.IFERROR(C822-C821,0)</f>
        <v>0.0</v>
      </c>
      <c r="F822" s="1">
        <f>INT((A822-DATE(2020,1,22))/7)+1</f>
        <v>118.0</v>
      </c>
      <c r="G822" s="1" t="str">
        <f>"Week_"&amp;F822</f>
        <v>Week_118</v>
      </c>
    </row>
    <row r="823" spans="8:8" ht="15.1">
      <c r="A823" s="3">
        <v>44673.0</v>
      </c>
      <c r="B823" s="2">
        <v>1952532.0</v>
      </c>
      <c r="C823" s="2">
        <v>29127.0</v>
      </c>
      <c r="D823" s="2">
        <f>_xlfn.IFERROR(B823-B822,0)</f>
        <v>26.0</v>
      </c>
      <c r="E823" s="2">
        <f>_xlfn.IFERROR(C823-C822,0)</f>
        <v>0.0</v>
      </c>
      <c r="F823" s="1">
        <f>INT((A823-DATE(2020,1,22))/7)+1</f>
        <v>118.0</v>
      </c>
      <c r="G823" s="1" t="str">
        <f>"Week_"&amp;F823</f>
        <v>Week_118</v>
      </c>
    </row>
    <row r="824" spans="8:8" ht="15.1">
      <c r="A824" s="3">
        <v>44674.0</v>
      </c>
      <c r="B824" s="2">
        <v>1952556.0</v>
      </c>
      <c r="C824" s="2">
        <v>29127.0</v>
      </c>
      <c r="D824" s="2">
        <f>_xlfn.IFERROR(B824-B823,0)</f>
        <v>24.0</v>
      </c>
      <c r="E824" s="2">
        <f>_xlfn.IFERROR(C824-C823,0)</f>
        <v>0.0</v>
      </c>
      <c r="F824" s="1">
        <f>INT((A824-DATE(2020,1,22))/7)+1</f>
        <v>118.0</v>
      </c>
      <c r="G824" s="1" t="str">
        <f>"Week_"&amp;F824</f>
        <v>Week_118</v>
      </c>
    </row>
    <row r="825" spans="8:8" ht="15.1">
      <c r="A825" s="3">
        <v>44675.0</v>
      </c>
      <c r="B825" s="2">
        <v>1952583.0</v>
      </c>
      <c r="C825" s="2">
        <v>29127.0</v>
      </c>
      <c r="D825" s="2">
        <f>_xlfn.IFERROR(B825-B824,0)</f>
        <v>27.0</v>
      </c>
      <c r="E825" s="2">
        <f>_xlfn.IFERROR(C825-C824,0)</f>
        <v>0.0</v>
      </c>
      <c r="F825" s="1">
        <f>INT((A825-DATE(2020,1,22))/7)+1</f>
        <v>118.0</v>
      </c>
      <c r="G825" s="1" t="str">
        <f>"Week_"&amp;F825</f>
        <v>Week_118</v>
      </c>
    </row>
    <row r="826" spans="8:8" ht="15.1">
      <c r="A826" s="3">
        <v>44676.0</v>
      </c>
      <c r="B826" s="2">
        <v>1952602.0</v>
      </c>
      <c r="C826" s="2">
        <v>29127.0</v>
      </c>
      <c r="D826" s="2">
        <f>_xlfn.IFERROR(B826-B825,0)</f>
        <v>19.0</v>
      </c>
      <c r="E826" s="2">
        <f>_xlfn.IFERROR(C826-C825,0)</f>
        <v>0.0</v>
      </c>
      <c r="F826" s="1">
        <f>INT((A826-DATE(2020,1,22))/7)+1</f>
        <v>118.0</v>
      </c>
      <c r="G826" s="1" t="str">
        <f>"Week_"&amp;F826</f>
        <v>Week_118</v>
      </c>
    </row>
    <row r="827" spans="8:8" ht="15.1">
      <c r="A827" s="3">
        <v>44677.0</v>
      </c>
      <c r="B827" s="2">
        <v>1952625.0</v>
      </c>
      <c r="C827" s="2">
        <v>29127.0</v>
      </c>
      <c r="D827" s="2">
        <f>_xlfn.IFERROR(B827-B826,0)</f>
        <v>23.0</v>
      </c>
      <c r="E827" s="2">
        <f>_xlfn.IFERROR(C827-C826,0)</f>
        <v>0.0</v>
      </c>
      <c r="F827" s="1">
        <f>INT((A827-DATE(2020,1,22))/7)+1</f>
        <v>118.0</v>
      </c>
      <c r="G827" s="1" t="str">
        <f>"Week_"&amp;F827</f>
        <v>Week_118</v>
      </c>
    </row>
    <row r="828" spans="8:8" ht="15.1">
      <c r="A828" s="3">
        <v>44678.0</v>
      </c>
      <c r="B828" s="2">
        <v>1952644.0</v>
      </c>
      <c r="C828" s="2">
        <v>29127.0</v>
      </c>
      <c r="D828" s="2">
        <f>_xlfn.IFERROR(B828-B827,0)</f>
        <v>19.0</v>
      </c>
      <c r="E828" s="2">
        <f>_xlfn.IFERROR(C828-C827,0)</f>
        <v>0.0</v>
      </c>
      <c r="F828" s="1">
        <f>INT((A828-DATE(2020,1,22))/7)+1</f>
        <v>119.0</v>
      </c>
      <c r="G828" s="1" t="str">
        <f>"Week_"&amp;F828</f>
        <v>Week_119</v>
      </c>
    </row>
    <row r="829" spans="8:8" ht="15.1">
      <c r="A829" s="3">
        <v>44679.0</v>
      </c>
      <c r="B829" s="2">
        <v>1952674.0</v>
      </c>
      <c r="C829" s="2">
        <v>29127.0</v>
      </c>
      <c r="D829" s="2">
        <f>_xlfn.IFERROR(B829-B828,0)</f>
        <v>30.0</v>
      </c>
      <c r="E829" s="2">
        <f>_xlfn.IFERROR(C829-C828,0)</f>
        <v>0.0</v>
      </c>
      <c r="F829" s="1">
        <f>INT((A829-DATE(2020,1,22))/7)+1</f>
        <v>119.0</v>
      </c>
      <c r="G829" s="1" t="str">
        <f>"Week_"&amp;F829</f>
        <v>Week_119</v>
      </c>
    </row>
    <row r="830" spans="8:8" ht="15.1">
      <c r="A830" s="3">
        <v>44680.0</v>
      </c>
      <c r="B830" s="2">
        <v>1952691.0</v>
      </c>
      <c r="C830" s="2">
        <v>29127.0</v>
      </c>
      <c r="D830" s="2">
        <f>_xlfn.IFERROR(B830-B829,0)</f>
        <v>17.0</v>
      </c>
      <c r="E830" s="2">
        <f>_xlfn.IFERROR(C830-C829,0)</f>
        <v>0.0</v>
      </c>
      <c r="F830" s="1">
        <f>INT((A830-DATE(2020,1,22))/7)+1</f>
        <v>119.0</v>
      </c>
      <c r="G830" s="1" t="str">
        <f>"Week_"&amp;F830</f>
        <v>Week_119</v>
      </c>
    </row>
    <row r="831" spans="8:8" ht="15.1">
      <c r="A831" s="3">
        <v>44681.0</v>
      </c>
      <c r="B831" s="2">
        <v>1952716.0</v>
      </c>
      <c r="C831" s="2">
        <v>29127.0</v>
      </c>
      <c r="D831" s="2">
        <f>_xlfn.IFERROR(B831-B830,0)</f>
        <v>25.0</v>
      </c>
      <c r="E831" s="2">
        <f>_xlfn.IFERROR(C831-C830,0)</f>
        <v>0.0</v>
      </c>
      <c r="F831" s="1">
        <f>INT((A831-DATE(2020,1,22))/7)+1</f>
        <v>119.0</v>
      </c>
      <c r="G831" s="1" t="str">
        <f>"Week_"&amp;F831</f>
        <v>Week_119</v>
      </c>
    </row>
    <row r="832" spans="8:8" ht="15.1">
      <c r="A832" s="3">
        <v>44682.0</v>
      </c>
      <c r="B832" s="2">
        <v>1952726.0</v>
      </c>
      <c r="C832" s="2">
        <v>29127.0</v>
      </c>
      <c r="D832" s="2">
        <f>_xlfn.IFERROR(B832-B831,0)</f>
        <v>10.0</v>
      </c>
      <c r="E832" s="2">
        <f>_xlfn.IFERROR(C832-C831,0)</f>
        <v>0.0</v>
      </c>
      <c r="F832" s="1">
        <f>INT((A832-DATE(2020,1,22))/7)+1</f>
        <v>119.0</v>
      </c>
      <c r="G832" s="1" t="str">
        <f>"Week_"&amp;F832</f>
        <v>Week_119</v>
      </c>
    </row>
    <row r="833" spans="8:8" ht="15.1">
      <c r="A833" s="3">
        <v>44683.0</v>
      </c>
      <c r="B833" s="2">
        <v>1952733.0</v>
      </c>
      <c r="C833" s="2">
        <v>29127.0</v>
      </c>
      <c r="D833" s="2">
        <f>_xlfn.IFERROR(B833-B832,0)</f>
        <v>7.0</v>
      </c>
      <c r="E833" s="2">
        <f>_xlfn.IFERROR(C833-C832,0)</f>
        <v>0.0</v>
      </c>
      <c r="F833" s="1">
        <f>INT((A833-DATE(2020,1,22))/7)+1</f>
        <v>119.0</v>
      </c>
      <c r="G833" s="1" t="str">
        <f>"Week_"&amp;F833</f>
        <v>Week_119</v>
      </c>
    </row>
    <row r="834" spans="8:8" ht="15.1">
      <c r="A834" s="3">
        <v>44684.0</v>
      </c>
      <c r="B834" s="2">
        <v>1952743.0</v>
      </c>
      <c r="C834" s="2">
        <v>29127.0</v>
      </c>
      <c r="D834" s="2">
        <f>_xlfn.IFERROR(B834-B833,0)</f>
        <v>10.0</v>
      </c>
      <c r="E834" s="2">
        <f>_xlfn.IFERROR(C834-C833,0)</f>
        <v>0.0</v>
      </c>
      <c r="F834" s="1">
        <f>INT((A834-DATE(2020,1,22))/7)+1</f>
        <v>119.0</v>
      </c>
      <c r="G834" s="1" t="str">
        <f>"Week_"&amp;F834</f>
        <v>Week_119</v>
      </c>
    </row>
    <row r="835" spans="8:8" ht="15.1">
      <c r="A835" s="3">
        <v>44685.0</v>
      </c>
      <c r="B835" s="2">
        <v>1952747.0</v>
      </c>
      <c r="C835" s="2">
        <v>29127.0</v>
      </c>
      <c r="D835" s="2">
        <f>_xlfn.IFERROR(B835-B834,0)</f>
        <v>4.0</v>
      </c>
      <c r="E835" s="2">
        <f>_xlfn.IFERROR(C835-C834,0)</f>
        <v>0.0</v>
      </c>
      <c r="F835" s="1">
        <f>INT((A835-DATE(2020,1,22))/7)+1</f>
        <v>120.0</v>
      </c>
      <c r="G835" s="1" t="str">
        <f>"Week_"&amp;F835</f>
        <v>Week_120</v>
      </c>
    </row>
    <row r="836" spans="8:8" ht="15.1">
      <c r="A836" s="3">
        <v>44686.0</v>
      </c>
      <c r="B836" s="2">
        <v>1952766.0</v>
      </c>
      <c r="C836" s="2">
        <v>29127.0</v>
      </c>
      <c r="D836" s="2">
        <f>_xlfn.IFERROR(B836-B835,0)</f>
        <v>19.0</v>
      </c>
      <c r="E836" s="2">
        <f>_xlfn.IFERROR(C836-C835,0)</f>
        <v>0.0</v>
      </c>
      <c r="F836" s="1">
        <f>INT((A836-DATE(2020,1,22))/7)+1</f>
        <v>120.0</v>
      </c>
      <c r="G836" s="1" t="str">
        <f>"Week_"&amp;F836</f>
        <v>Week_120</v>
      </c>
    </row>
    <row r="837" spans="8:8" ht="15.1">
      <c r="A837" s="3">
        <v>44687.0</v>
      </c>
      <c r="B837" s="2">
        <v>1952776.0</v>
      </c>
      <c r="C837" s="2">
        <v>29127.0</v>
      </c>
      <c r="D837" s="2">
        <f>_xlfn.IFERROR(B837-B836,0)</f>
        <v>10.0</v>
      </c>
      <c r="E837" s="2">
        <f>_xlfn.IFERROR(C837-C836,0)</f>
        <v>0.0</v>
      </c>
      <c r="F837" s="1">
        <f>INT((A837-DATE(2020,1,22))/7)+1</f>
        <v>120.0</v>
      </c>
      <c r="G837" s="1" t="str">
        <f>"Week_"&amp;F837</f>
        <v>Week_120</v>
      </c>
    </row>
    <row r="838" spans="8:8" ht="15.1">
      <c r="A838" s="3">
        <v>44688.0</v>
      </c>
      <c r="B838" s="2">
        <v>1952799.0</v>
      </c>
      <c r="C838" s="2">
        <v>29127.0</v>
      </c>
      <c r="D838" s="2">
        <f>_xlfn.IFERROR(B838-B837,0)</f>
        <v>23.0</v>
      </c>
      <c r="E838" s="2">
        <f>_xlfn.IFERROR(C838-C837,0)</f>
        <v>0.0</v>
      </c>
      <c r="F838" s="1">
        <f>INT((A838-DATE(2020,1,22))/7)+1</f>
        <v>120.0</v>
      </c>
      <c r="G838" s="1" t="str">
        <f>"Week_"&amp;F838</f>
        <v>Week_120</v>
      </c>
    </row>
    <row r="839" spans="8:8" ht="15.1">
      <c r="A839" s="3">
        <v>44689.0</v>
      </c>
      <c r="B839" s="2">
        <v>1952829.0</v>
      </c>
      <c r="C839" s="2">
        <v>29127.0</v>
      </c>
      <c r="D839" s="2">
        <f>_xlfn.IFERROR(B839-B838,0)</f>
        <v>30.0</v>
      </c>
      <c r="E839" s="2">
        <f>_xlfn.IFERROR(C839-C838,0)</f>
        <v>0.0</v>
      </c>
      <c r="F839" s="1">
        <f>INT((A839-DATE(2020,1,22))/7)+1</f>
        <v>120.0</v>
      </c>
      <c r="G839" s="1" t="str">
        <f>"Week_"&amp;F839</f>
        <v>Week_120</v>
      </c>
    </row>
    <row r="840" spans="8:8" ht="15.1">
      <c r="A840" s="3">
        <v>44690.0</v>
      </c>
      <c r="B840" s="2">
        <v>1952855.0</v>
      </c>
      <c r="C840" s="2">
        <v>29127.0</v>
      </c>
      <c r="D840" s="2">
        <f>_xlfn.IFERROR(B840-B839,0)</f>
        <v>26.0</v>
      </c>
      <c r="E840" s="2">
        <f>_xlfn.IFERROR(C840-C839,0)</f>
        <v>0.0</v>
      </c>
      <c r="F840" s="1">
        <f>INT((A840-DATE(2020,1,22))/7)+1</f>
        <v>120.0</v>
      </c>
      <c r="G840" s="1" t="str">
        <f>"Week_"&amp;F840</f>
        <v>Week_120</v>
      </c>
    </row>
    <row r="841" spans="8:8" ht="15.1">
      <c r="A841" s="3">
        <v>44691.0</v>
      </c>
      <c r="B841" s="2">
        <v>1952888.0</v>
      </c>
      <c r="C841" s="2">
        <v>29127.0</v>
      </c>
      <c r="D841" s="2">
        <f>_xlfn.IFERROR(B841-B840,0)</f>
        <v>33.0</v>
      </c>
      <c r="E841" s="2">
        <f>_xlfn.IFERROR(C841-C840,0)</f>
        <v>0.0</v>
      </c>
      <c r="F841" s="1">
        <f>INT((A841-DATE(2020,1,22))/7)+1</f>
        <v>120.0</v>
      </c>
      <c r="G841" s="1" t="str">
        <f>"Week_"&amp;F841</f>
        <v>Week_120</v>
      </c>
    </row>
    <row r="842" spans="8:8" ht="15.1">
      <c r="A842" s="3">
        <v>44692.0</v>
      </c>
      <c r="B842" s="2">
        <v>1952939.0</v>
      </c>
      <c r="C842" s="2">
        <v>29127.0</v>
      </c>
      <c r="D842" s="2">
        <f>_xlfn.IFERROR(B842-B841,0)</f>
        <v>51.0</v>
      </c>
      <c r="E842" s="2">
        <f>_xlfn.IFERROR(C842-C841,0)</f>
        <v>0.0</v>
      </c>
      <c r="F842" s="1">
        <f>INT((A842-DATE(2020,1,22))/7)+1</f>
        <v>121.0</v>
      </c>
      <c r="G842" s="1" t="str">
        <f>"Week_"&amp;F842</f>
        <v>Week_121</v>
      </c>
    </row>
    <row r="843" spans="8:8" ht="15.1">
      <c r="A843" s="3">
        <v>44693.0</v>
      </c>
      <c r="B843" s="2">
        <v>1952957.0</v>
      </c>
      <c r="C843" s="2">
        <v>29127.0</v>
      </c>
      <c r="D843" s="2">
        <f>_xlfn.IFERROR(B843-B842,0)</f>
        <v>18.0</v>
      </c>
      <c r="E843" s="2">
        <f>_xlfn.IFERROR(C843-C842,0)</f>
        <v>0.0</v>
      </c>
      <c r="F843" s="1">
        <f>INT((A843-DATE(2020,1,22))/7)+1</f>
        <v>121.0</v>
      </c>
      <c r="G843" s="1" t="str">
        <f>"Week_"&amp;F843</f>
        <v>Week_121</v>
      </c>
    </row>
    <row r="844" spans="8:8" ht="15.1">
      <c r="A844" s="3">
        <v>44694.0</v>
      </c>
      <c r="B844" s="2">
        <v>1952979.0</v>
      </c>
      <c r="C844" s="2">
        <v>29127.0</v>
      </c>
      <c r="D844" s="2">
        <f>_xlfn.IFERROR(B844-B843,0)</f>
        <v>22.0</v>
      </c>
      <c r="E844" s="2">
        <f>_xlfn.IFERROR(C844-C843,0)</f>
        <v>0.0</v>
      </c>
      <c r="F844" s="1">
        <f>INT((A844-DATE(2020,1,22))/7)+1</f>
        <v>121.0</v>
      </c>
      <c r="G844" s="1" t="str">
        <f>"Week_"&amp;F844</f>
        <v>Week_121</v>
      </c>
    </row>
    <row r="845" spans="8:8" ht="15.1">
      <c r="A845" s="3">
        <v>44695.0</v>
      </c>
      <c r="B845" s="2">
        <v>1953012.0</v>
      </c>
      <c r="C845" s="2">
        <v>29127.0</v>
      </c>
      <c r="D845" s="2">
        <f>_xlfn.IFERROR(B845-B844,0)</f>
        <v>33.0</v>
      </c>
      <c r="E845" s="2">
        <f>_xlfn.IFERROR(C845-C844,0)</f>
        <v>0.0</v>
      </c>
      <c r="F845" s="1">
        <f>INT((A845-DATE(2020,1,22))/7)+1</f>
        <v>121.0</v>
      </c>
      <c r="G845" s="1" t="str">
        <f>"Week_"&amp;F845</f>
        <v>Week_121</v>
      </c>
    </row>
    <row r="846" spans="8:8" ht="15.1">
      <c r="A846" s="3">
        <v>44696.0</v>
      </c>
      <c r="B846" s="2">
        <v>1953049.0</v>
      </c>
      <c r="C846" s="2">
        <v>29127.0</v>
      </c>
      <c r="D846" s="2">
        <f>_xlfn.IFERROR(B846-B845,0)</f>
        <v>37.0</v>
      </c>
      <c r="E846" s="2">
        <f>_xlfn.IFERROR(C846-C845,0)</f>
        <v>0.0</v>
      </c>
      <c r="F846" s="1">
        <f>INT((A846-DATE(2020,1,22))/7)+1</f>
        <v>121.0</v>
      </c>
      <c r="G846" s="1" t="str">
        <f>"Week_"&amp;F846</f>
        <v>Week_121</v>
      </c>
    </row>
    <row r="847" spans="8:8" ht="15.1">
      <c r="A847" s="3">
        <v>44697.0</v>
      </c>
      <c r="B847" s="2">
        <v>1953081.0</v>
      </c>
      <c r="C847" s="2">
        <v>29127.0</v>
      </c>
      <c r="D847" s="2">
        <f>_xlfn.IFERROR(B847-B846,0)</f>
        <v>32.0</v>
      </c>
      <c r="E847" s="2">
        <f>_xlfn.IFERROR(C847-C846,0)</f>
        <v>0.0</v>
      </c>
      <c r="F847" s="1">
        <f>INT((A847-DATE(2020,1,22))/7)+1</f>
        <v>121.0</v>
      </c>
      <c r="G847" s="1" t="str">
        <f>"Week_"&amp;F847</f>
        <v>Week_121</v>
      </c>
    </row>
    <row r="848" spans="8:8" ht="15.1">
      <c r="A848" s="3">
        <v>44698.0</v>
      </c>
      <c r="B848" s="2">
        <v>1953103.0</v>
      </c>
      <c r="C848" s="2">
        <v>29127.0</v>
      </c>
      <c r="D848" s="2">
        <f>_xlfn.IFERROR(B848-B847,0)</f>
        <v>22.0</v>
      </c>
      <c r="E848" s="2">
        <f>_xlfn.IFERROR(C848-C847,0)</f>
        <v>0.0</v>
      </c>
      <c r="F848" s="1">
        <f>INT((A848-DATE(2020,1,22))/7)+1</f>
        <v>121.0</v>
      </c>
      <c r="G848" s="1" t="str">
        <f>"Week_"&amp;F848</f>
        <v>Week_121</v>
      </c>
    </row>
    <row r="849" spans="8:8" ht="15.1">
      <c r="A849" s="3">
        <v>44699.0</v>
      </c>
      <c r="B849" s="2">
        <v>1953138.0</v>
      </c>
      <c r="C849" s="2">
        <v>29127.0</v>
      </c>
      <c r="D849" s="2">
        <f>_xlfn.IFERROR(B849-B848,0)</f>
        <v>35.0</v>
      </c>
      <c r="E849" s="2">
        <f>_xlfn.IFERROR(C849-C848,0)</f>
        <v>0.0</v>
      </c>
      <c r="F849" s="1">
        <f>INT((A849-DATE(2020,1,22))/7)+1</f>
        <v>122.0</v>
      </c>
      <c r="G849" s="1" t="str">
        <f>"Week_"&amp;F849</f>
        <v>Week_122</v>
      </c>
    </row>
    <row r="850" spans="8:8" ht="15.1">
      <c r="A850" s="3">
        <v>44700.0</v>
      </c>
      <c r="B850" s="2">
        <v>1953188.0</v>
      </c>
      <c r="C850" s="2">
        <v>29127.0</v>
      </c>
      <c r="D850" s="2">
        <f>_xlfn.IFERROR(B850-B849,0)</f>
        <v>50.0</v>
      </c>
      <c r="E850" s="2">
        <f>_xlfn.IFERROR(C850-C849,0)</f>
        <v>0.0</v>
      </c>
      <c r="F850" s="1">
        <f>INT((A850-DATE(2020,1,22))/7)+1</f>
        <v>122.0</v>
      </c>
      <c r="G850" s="1" t="str">
        <f>"Week_"&amp;F850</f>
        <v>Week_122</v>
      </c>
    </row>
    <row r="851" spans="8:8" ht="15.1">
      <c r="A851" s="3">
        <v>44701.0</v>
      </c>
      <c r="B851" s="2">
        <v>1953204.0</v>
      </c>
      <c r="C851" s="2">
        <v>29128.0</v>
      </c>
      <c r="D851" s="2">
        <f>_xlfn.IFERROR(B851-B850,0)</f>
        <v>16.0</v>
      </c>
      <c r="E851" s="2">
        <f>_xlfn.IFERROR(C851-C850,0)</f>
        <v>1.0</v>
      </c>
      <c r="F851" s="1">
        <f>INT((A851-DATE(2020,1,22))/7)+1</f>
        <v>122.0</v>
      </c>
      <c r="G851" s="1" t="str">
        <f>"Week_"&amp;F851</f>
        <v>Week_122</v>
      </c>
    </row>
    <row r="852" spans="8:8" ht="15.1">
      <c r="A852" s="3">
        <v>44702.0</v>
      </c>
      <c r="B852" s="2">
        <v>1953233.0</v>
      </c>
      <c r="C852" s="2">
        <v>29128.0</v>
      </c>
      <c r="D852" s="2">
        <f>_xlfn.IFERROR(B852-B851,0)</f>
        <v>29.0</v>
      </c>
      <c r="E852" s="2">
        <f>_xlfn.IFERROR(C852-C851,0)</f>
        <v>0.0</v>
      </c>
      <c r="F852" s="1">
        <f>INT((A852-DATE(2020,1,22))/7)+1</f>
        <v>122.0</v>
      </c>
      <c r="G852" s="1" t="str">
        <f>"Week_"&amp;F852</f>
        <v>Week_122</v>
      </c>
    </row>
    <row r="853" spans="8:8" ht="15.1">
      <c r="A853" s="3">
        <v>44703.0</v>
      </c>
      <c r="B853" s="2">
        <v>1953264.0</v>
      </c>
      <c r="C853" s="2">
        <v>29130.0</v>
      </c>
      <c r="D853" s="2">
        <f>_xlfn.IFERROR(B853-B852,0)</f>
        <v>31.0</v>
      </c>
      <c r="E853" s="2">
        <f>_xlfn.IFERROR(C853-C852,0)</f>
        <v>2.0</v>
      </c>
      <c r="F853" s="1">
        <f>INT((A853-DATE(2020,1,22))/7)+1</f>
        <v>122.0</v>
      </c>
      <c r="G853" s="1" t="str">
        <f>"Week_"&amp;F853</f>
        <v>Week_122</v>
      </c>
    </row>
    <row r="854" spans="8:8" ht="15.1">
      <c r="A854" s="3">
        <v>44704.0</v>
      </c>
      <c r="B854" s="2">
        <v>1953298.0</v>
      </c>
      <c r="C854" s="2">
        <v>29130.0</v>
      </c>
      <c r="D854" s="2">
        <f>_xlfn.IFERROR(B854-B853,0)</f>
        <v>34.0</v>
      </c>
      <c r="E854" s="2">
        <f>_xlfn.IFERROR(C854-C853,0)</f>
        <v>0.0</v>
      </c>
      <c r="F854" s="1">
        <f>INT((A854-DATE(2020,1,22))/7)+1</f>
        <v>122.0</v>
      </c>
      <c r="G854" s="1" t="str">
        <f>"Week_"&amp;F854</f>
        <v>Week_122</v>
      </c>
    </row>
    <row r="855" spans="8:8" ht="15.1">
      <c r="A855" s="3">
        <v>44705.0</v>
      </c>
      <c r="B855" s="2">
        <v>1953328.0</v>
      </c>
      <c r="C855" s="2">
        <v>29130.0</v>
      </c>
      <c r="D855" s="2">
        <f>_xlfn.IFERROR(B855-B854,0)</f>
        <v>30.0</v>
      </c>
      <c r="E855" s="2">
        <f>_xlfn.IFERROR(C855-C854,0)</f>
        <v>0.0</v>
      </c>
      <c r="F855" s="1">
        <f>INT((A855-DATE(2020,1,22))/7)+1</f>
        <v>122.0</v>
      </c>
      <c r="G855" s="1" t="str">
        <f>"Week_"&amp;F855</f>
        <v>Week_122</v>
      </c>
    </row>
    <row r="856" spans="8:8" ht="15.1">
      <c r="A856" s="3">
        <v>44706.0</v>
      </c>
      <c r="B856" s="2">
        <v>1953356.0</v>
      </c>
      <c r="C856" s="2">
        <v>29130.0</v>
      </c>
      <c r="D856" s="2">
        <f>_xlfn.IFERROR(B856-B855,0)</f>
        <v>28.0</v>
      </c>
      <c r="E856" s="2">
        <f>_xlfn.IFERROR(C856-C855,0)</f>
        <v>0.0</v>
      </c>
      <c r="F856" s="1">
        <f>INT((A856-DATE(2020,1,22))/7)+1</f>
        <v>123.0</v>
      </c>
      <c r="G856" s="1" t="str">
        <f>"Week_"&amp;F856</f>
        <v>Week_123</v>
      </c>
    </row>
    <row r="857" spans="8:8" ht="15.1">
      <c r="A857" s="3">
        <v>44707.0</v>
      </c>
      <c r="B857" s="2">
        <v>1953379.0</v>
      </c>
      <c r="C857" s="2">
        <v>29130.0</v>
      </c>
      <c r="D857" s="2">
        <f>_xlfn.IFERROR(B857-B856,0)</f>
        <v>23.0</v>
      </c>
      <c r="E857" s="2">
        <f>_xlfn.IFERROR(C857-C856,0)</f>
        <v>0.0</v>
      </c>
      <c r="F857" s="1">
        <f>INT((A857-DATE(2020,1,22))/7)+1</f>
        <v>123.0</v>
      </c>
      <c r="G857" s="1" t="str">
        <f>"Week_"&amp;F857</f>
        <v>Week_123</v>
      </c>
    </row>
    <row r="858" spans="8:8" ht="15.1">
      <c r="A858" s="3">
        <v>44708.0</v>
      </c>
      <c r="B858" s="2">
        <v>1953407.0</v>
      </c>
      <c r="C858" s="2">
        <v>29130.0</v>
      </c>
      <c r="D858" s="2">
        <f>_xlfn.IFERROR(B858-B857,0)</f>
        <v>28.0</v>
      </c>
      <c r="E858" s="2">
        <f>_xlfn.IFERROR(C858-C857,0)</f>
        <v>0.0</v>
      </c>
      <c r="F858" s="1">
        <f>INT((A858-DATE(2020,1,22))/7)+1</f>
        <v>123.0</v>
      </c>
      <c r="G858" s="1" t="str">
        <f>"Week_"&amp;F858</f>
        <v>Week_123</v>
      </c>
    </row>
    <row r="859" spans="8:8" ht="15.1">
      <c r="A859" s="3">
        <v>44709.0</v>
      </c>
      <c r="B859" s="2">
        <v>1953447.0</v>
      </c>
      <c r="C859" s="2">
        <v>29130.0</v>
      </c>
      <c r="D859" s="2">
        <f>_xlfn.IFERROR(B859-B858,0)</f>
        <v>40.0</v>
      </c>
      <c r="E859" s="2">
        <f>_xlfn.IFERROR(C859-C858,0)</f>
        <v>0.0</v>
      </c>
      <c r="F859" s="1">
        <f>INT((A859-DATE(2020,1,22))/7)+1</f>
        <v>123.0</v>
      </c>
      <c r="G859" s="1" t="str">
        <f>"Week_"&amp;F859</f>
        <v>Week_123</v>
      </c>
    </row>
    <row r="860" spans="8:8" ht="15.1">
      <c r="A860" s="3">
        <v>44710.0</v>
      </c>
      <c r="B860" s="2">
        <v>1953481.0</v>
      </c>
      <c r="C860" s="2">
        <v>29131.0</v>
      </c>
      <c r="D860" s="2">
        <f>_xlfn.IFERROR(B860-B859,0)</f>
        <v>34.0</v>
      </c>
      <c r="E860" s="2">
        <f>_xlfn.IFERROR(C860-C859,0)</f>
        <v>1.0</v>
      </c>
      <c r="F860" s="1">
        <f>INT((A860-DATE(2020,1,22))/7)+1</f>
        <v>123.0</v>
      </c>
      <c r="G860" s="1" t="str">
        <f>"Week_"&amp;F860</f>
        <v>Week_123</v>
      </c>
    </row>
    <row r="861" spans="8:8" ht="15.1">
      <c r="A861" s="3">
        <v>44711.0</v>
      </c>
      <c r="B861" s="2">
        <v>1953507.0</v>
      </c>
      <c r="C861" s="2">
        <v>29131.0</v>
      </c>
      <c r="D861" s="2">
        <f>_xlfn.IFERROR(B861-B860,0)</f>
        <v>26.0</v>
      </c>
      <c r="E861" s="2">
        <f>_xlfn.IFERROR(C861-C860,0)</f>
        <v>0.0</v>
      </c>
      <c r="F861" s="1">
        <f>INT((A861-DATE(2020,1,22))/7)+1</f>
        <v>123.0</v>
      </c>
      <c r="G861" s="1" t="str">
        <f>"Week_"&amp;F861</f>
        <v>Week_123</v>
      </c>
    </row>
    <row r="862" spans="8:8" ht="15.1">
      <c r="A862" s="3">
        <v>44712.0</v>
      </c>
      <c r="B862" s="2">
        <v>1953541.0</v>
      </c>
      <c r="C862" s="2">
        <v>29131.0</v>
      </c>
      <c r="D862" s="2">
        <f>_xlfn.IFERROR(B862-B861,0)</f>
        <v>34.0</v>
      </c>
      <c r="E862" s="2">
        <f>_xlfn.IFERROR(C862-C861,0)</f>
        <v>0.0</v>
      </c>
      <c r="F862" s="1">
        <f>INT((A862-DATE(2020,1,22))/7)+1</f>
        <v>123.0</v>
      </c>
      <c r="G862" s="1" t="str">
        <f>"Week_"&amp;F862</f>
        <v>Week_123</v>
      </c>
    </row>
    <row r="863" spans="8:8" ht="15.1">
      <c r="A863" s="3">
        <v>44713.0</v>
      </c>
      <c r="B863" s="2">
        <v>1953563.0</v>
      </c>
      <c r="C863" s="2">
        <v>29131.0</v>
      </c>
      <c r="D863" s="2">
        <f>_xlfn.IFERROR(B863-B862,0)</f>
        <v>22.0</v>
      </c>
      <c r="E863" s="2">
        <f>_xlfn.IFERROR(C863-C862,0)</f>
        <v>0.0</v>
      </c>
      <c r="F863" s="1">
        <f>INT((A863-DATE(2020,1,22))/7)+1</f>
        <v>124.0</v>
      </c>
      <c r="G863" s="1" t="str">
        <f>"Week_"&amp;F863</f>
        <v>Week_124</v>
      </c>
    </row>
    <row r="864" spans="8:8" ht="15.1">
      <c r="A864" s="3">
        <v>44714.0</v>
      </c>
      <c r="B864" s="2">
        <v>1953592.0</v>
      </c>
      <c r="C864" s="2">
        <v>29131.0</v>
      </c>
      <c r="D864" s="2">
        <f>_xlfn.IFERROR(B864-B863,0)</f>
        <v>29.0</v>
      </c>
      <c r="E864" s="2">
        <f>_xlfn.IFERROR(C864-C863,0)</f>
        <v>0.0</v>
      </c>
      <c r="F864" s="1">
        <f>INT((A864-DATE(2020,1,22))/7)+1</f>
        <v>124.0</v>
      </c>
      <c r="G864" s="1" t="str">
        <f>"Week_"&amp;F864</f>
        <v>Week_124</v>
      </c>
    </row>
    <row r="865" spans="8:8" ht="15.1">
      <c r="A865" s="3">
        <v>44715.0</v>
      </c>
      <c r="B865" s="2">
        <v>1953623.0</v>
      </c>
      <c r="C865" s="2">
        <v>29131.0</v>
      </c>
      <c r="D865" s="2">
        <f>_xlfn.IFERROR(B865-B864,0)</f>
        <v>31.0</v>
      </c>
      <c r="E865" s="2">
        <f>_xlfn.IFERROR(C865-C864,0)</f>
        <v>0.0</v>
      </c>
      <c r="F865" s="1">
        <f>INT((A865-DATE(2020,1,22))/7)+1</f>
        <v>124.0</v>
      </c>
      <c r="G865" s="1" t="str">
        <f>"Week_"&amp;F865</f>
        <v>Week_124</v>
      </c>
    </row>
    <row r="866" spans="8:8" ht="15.1">
      <c r="A866" s="3">
        <v>44716.0</v>
      </c>
      <c r="B866" s="2">
        <v>1953657.0</v>
      </c>
      <c r="C866" s="2">
        <v>29131.0</v>
      </c>
      <c r="D866" s="2">
        <f>_xlfn.IFERROR(B866-B865,0)</f>
        <v>34.0</v>
      </c>
      <c r="E866" s="2">
        <f>_xlfn.IFERROR(C866-C865,0)</f>
        <v>0.0</v>
      </c>
      <c r="F866" s="1">
        <f>INT((A866-DATE(2020,1,22))/7)+1</f>
        <v>124.0</v>
      </c>
      <c r="G866" s="1" t="str">
        <f>"Week_"&amp;F866</f>
        <v>Week_124</v>
      </c>
    </row>
    <row r="867" spans="8:8" ht="15.1">
      <c r="A867" s="3">
        <v>44717.0</v>
      </c>
      <c r="B867" s="2">
        <v>1953700.0</v>
      </c>
      <c r="C867" s="2">
        <v>29131.0</v>
      </c>
      <c r="D867" s="2">
        <f>_xlfn.IFERROR(B867-B866,0)</f>
        <v>43.0</v>
      </c>
      <c r="E867" s="2">
        <f>_xlfn.IFERROR(C867-C866,0)</f>
        <v>0.0</v>
      </c>
      <c r="F867" s="1">
        <f>INT((A867-DATE(2020,1,22))/7)+1</f>
        <v>124.0</v>
      </c>
      <c r="G867" s="1" t="str">
        <f>"Week_"&amp;F867</f>
        <v>Week_124</v>
      </c>
    </row>
    <row r="868" spans="8:8" ht="15.1">
      <c r="A868" s="3">
        <v>44718.0</v>
      </c>
      <c r="B868" s="2">
        <v>1953754.0</v>
      </c>
      <c r="C868" s="2">
        <v>29131.0</v>
      </c>
      <c r="D868" s="2">
        <f>_xlfn.IFERROR(B868-B867,0)</f>
        <v>54.0</v>
      </c>
      <c r="E868" s="2">
        <f>_xlfn.IFERROR(C868-C867,0)</f>
        <v>0.0</v>
      </c>
      <c r="F868" s="1">
        <f>INT((A868-DATE(2020,1,22))/7)+1</f>
        <v>124.0</v>
      </c>
      <c r="G868" s="1" t="str">
        <f>"Week_"&amp;F868</f>
        <v>Week_124</v>
      </c>
    </row>
    <row r="869" spans="8:8" ht="15.1">
      <c r="A869" s="3">
        <v>44719.0</v>
      </c>
      <c r="B869" s="2">
        <v>1953812.0</v>
      </c>
      <c r="C869" s="2">
        <v>29131.0</v>
      </c>
      <c r="D869" s="2">
        <f>_xlfn.IFERROR(B869-B868,0)</f>
        <v>58.0</v>
      </c>
      <c r="E869" s="2">
        <f>_xlfn.IFERROR(C869-C868,0)</f>
        <v>0.0</v>
      </c>
      <c r="F869" s="1">
        <f>INT((A869-DATE(2020,1,22))/7)+1</f>
        <v>124.0</v>
      </c>
      <c r="G869" s="1" t="str">
        <f>"Week_"&amp;F869</f>
        <v>Week_124</v>
      </c>
    </row>
    <row r="870" spans="8:8" ht="15.1">
      <c r="A870" s="3">
        <v>44720.0</v>
      </c>
      <c r="B870" s="2">
        <v>1953871.0</v>
      </c>
      <c r="C870" s="2">
        <v>29131.0</v>
      </c>
      <c r="D870" s="2">
        <f>_xlfn.IFERROR(B870-B869,0)</f>
        <v>59.0</v>
      </c>
      <c r="E870" s="2">
        <f>_xlfn.IFERROR(C870-C869,0)</f>
        <v>0.0</v>
      </c>
      <c r="F870" s="1">
        <f>INT((A870-DATE(2020,1,22))/7)+1</f>
        <v>125.0</v>
      </c>
      <c r="G870" s="1" t="str">
        <f>"Week_"&amp;F870</f>
        <v>Week_125</v>
      </c>
    </row>
    <row r="871" spans="8:8" ht="15.1">
      <c r="A871" s="3">
        <v>44721.0</v>
      </c>
      <c r="B871" s="2">
        <v>1953935.0</v>
      </c>
      <c r="C871" s="2">
        <v>29131.0</v>
      </c>
      <c r="D871" s="2">
        <f>_xlfn.IFERROR(B871-B870,0)</f>
        <v>64.0</v>
      </c>
      <c r="E871" s="2">
        <f>_xlfn.IFERROR(C871-C870,0)</f>
        <v>0.0</v>
      </c>
      <c r="F871" s="1">
        <f>INT((A871-DATE(2020,1,22))/7)+1</f>
        <v>125.0</v>
      </c>
      <c r="G871" s="1" t="str">
        <f>"Week_"&amp;F871</f>
        <v>Week_125</v>
      </c>
    </row>
    <row r="872" spans="8:8" ht="15.1">
      <c r="A872" s="3">
        <v>44722.0</v>
      </c>
      <c r="B872" s="2">
        <v>1954006.0</v>
      </c>
      <c r="C872" s="2">
        <v>29131.0</v>
      </c>
      <c r="D872" s="2">
        <f>_xlfn.IFERROR(B872-B871,0)</f>
        <v>71.0</v>
      </c>
      <c r="E872" s="2">
        <f>_xlfn.IFERROR(C872-C871,0)</f>
        <v>0.0</v>
      </c>
      <c r="F872" s="1">
        <f>INT((A872-DATE(2020,1,22))/7)+1</f>
        <v>125.0</v>
      </c>
      <c r="G872" s="1" t="str">
        <f>"Week_"&amp;F872</f>
        <v>Week_125</v>
      </c>
    </row>
    <row r="873" spans="8:8" ht="15.1">
      <c r="A873" s="3">
        <v>44723.0</v>
      </c>
      <c r="B873" s="2">
        <v>1954115.0</v>
      </c>
      <c r="C873" s="2">
        <v>29131.0</v>
      </c>
      <c r="D873" s="2">
        <f>_xlfn.IFERROR(B873-B872,0)</f>
        <v>109.0</v>
      </c>
      <c r="E873" s="2">
        <f>_xlfn.IFERROR(C873-C872,0)</f>
        <v>0.0</v>
      </c>
      <c r="F873" s="1">
        <f>INT((A873-DATE(2020,1,22))/7)+1</f>
        <v>125.0</v>
      </c>
      <c r="G873" s="1" t="str">
        <f>"Week_"&amp;F873</f>
        <v>Week_125</v>
      </c>
    </row>
    <row r="874" spans="8:8" ht="15.1">
      <c r="A874" s="3">
        <v>44724.0</v>
      </c>
      <c r="B874" s="2">
        <v>1954243.0</v>
      </c>
      <c r="C874" s="2">
        <v>29131.0</v>
      </c>
      <c r="D874" s="2">
        <f>_xlfn.IFERROR(B874-B873,0)</f>
        <v>128.0</v>
      </c>
      <c r="E874" s="2">
        <f>_xlfn.IFERROR(C874-C873,0)</f>
        <v>0.0</v>
      </c>
      <c r="F874" s="1">
        <f>INT((A874-DATE(2020,1,22))/7)+1</f>
        <v>125.0</v>
      </c>
      <c r="G874" s="1" t="str">
        <f>"Week_"&amp;F874</f>
        <v>Week_125</v>
      </c>
    </row>
    <row r="875" spans="8:8" ht="15.1">
      <c r="A875" s="3">
        <v>44725.0</v>
      </c>
      <c r="B875" s="2">
        <v>1954405.0</v>
      </c>
      <c r="C875" s="2">
        <v>29131.0</v>
      </c>
      <c r="D875" s="2">
        <f>_xlfn.IFERROR(B875-B874,0)</f>
        <v>162.0</v>
      </c>
      <c r="E875" s="2">
        <f>_xlfn.IFERROR(C875-C874,0)</f>
        <v>0.0</v>
      </c>
      <c r="F875" s="1">
        <f>INT((A875-DATE(2020,1,22))/7)+1</f>
        <v>125.0</v>
      </c>
      <c r="G875" s="1" t="str">
        <f>"Week_"&amp;F875</f>
        <v>Week_125</v>
      </c>
    </row>
    <row r="876" spans="8:8" ht="15.1">
      <c r="A876" s="3">
        <v>44726.0</v>
      </c>
      <c r="B876" s="2">
        <v>1954637.0</v>
      </c>
      <c r="C876" s="2">
        <v>29131.0</v>
      </c>
      <c r="D876" s="2">
        <f>_xlfn.IFERROR(B876-B875,0)</f>
        <v>232.0</v>
      </c>
      <c r="E876" s="2">
        <f>_xlfn.IFERROR(C876-C875,0)</f>
        <v>0.0</v>
      </c>
      <c r="F876" s="1">
        <f>INT((A876-DATE(2020,1,22))/7)+1</f>
        <v>125.0</v>
      </c>
      <c r="G876" s="1" t="str">
        <f>"Week_"&amp;F876</f>
        <v>Week_125</v>
      </c>
    </row>
    <row r="877" spans="8:8" ht="15.1">
      <c r="A877" s="3">
        <v>44727.0</v>
      </c>
      <c r="B877" s="2">
        <v>1954994.0</v>
      </c>
      <c r="C877" s="2">
        <v>29131.0</v>
      </c>
      <c r="D877" s="2">
        <f>_xlfn.IFERROR(B877-B876,0)</f>
        <v>357.0</v>
      </c>
      <c r="E877" s="2">
        <f>_xlfn.IFERROR(C877-C876,0)</f>
        <v>0.0</v>
      </c>
      <c r="F877" s="1">
        <f>INT((A877-DATE(2020,1,22))/7)+1</f>
        <v>126.0</v>
      </c>
      <c r="G877" s="1" t="str">
        <f>"Week_"&amp;F877</f>
        <v>Week_126</v>
      </c>
    </row>
    <row r="878" spans="8:8" ht="15.1">
      <c r="A878" s="3">
        <v>44728.0</v>
      </c>
      <c r="B878" s="2">
        <v>1955427.0</v>
      </c>
      <c r="C878" s="2">
        <v>29131.0</v>
      </c>
      <c r="D878" s="2">
        <f>_xlfn.IFERROR(B878-B877,0)</f>
        <v>433.0</v>
      </c>
      <c r="E878" s="2">
        <f>_xlfn.IFERROR(C878-C877,0)</f>
        <v>0.0</v>
      </c>
      <c r="F878" s="1">
        <f>INT((A878-DATE(2020,1,22))/7)+1</f>
        <v>126.0</v>
      </c>
      <c r="G878" s="1" t="str">
        <f>"Week_"&amp;F878</f>
        <v>Week_126</v>
      </c>
    </row>
    <row r="879" spans="8:8" ht="15.1">
      <c r="A879" s="3">
        <v>44729.0</v>
      </c>
      <c r="B879" s="2">
        <v>1955731.0</v>
      </c>
      <c r="C879" s="2">
        <v>29131.0</v>
      </c>
      <c r="D879" s="2">
        <f>_xlfn.IFERROR(B879-B878,0)</f>
        <v>304.0</v>
      </c>
      <c r="E879" s="2">
        <f>_xlfn.IFERROR(C879-C878,0)</f>
        <v>0.0</v>
      </c>
      <c r="F879" s="1">
        <f>INT((A879-DATE(2020,1,22))/7)+1</f>
        <v>126.0</v>
      </c>
      <c r="G879" s="1" t="str">
        <f>"Week_"&amp;F879</f>
        <v>Week_126</v>
      </c>
    </row>
    <row r="880" spans="8:8" ht="15.1">
      <c r="A880" s="3">
        <v>44730.0</v>
      </c>
      <c r="B880" s="2">
        <v>1956327.0</v>
      </c>
      <c r="C880" s="2">
        <v>29131.0</v>
      </c>
      <c r="D880" s="2">
        <f>_xlfn.IFERROR(B880-B879,0)</f>
        <v>596.0</v>
      </c>
      <c r="E880" s="2">
        <f>_xlfn.IFERROR(C880-C879,0)</f>
        <v>0.0</v>
      </c>
      <c r="F880" s="1">
        <f>INT((A880-DATE(2020,1,22))/7)+1</f>
        <v>126.0</v>
      </c>
      <c r="G880" s="1" t="str">
        <f>"Week_"&amp;F880</f>
        <v>Week_126</v>
      </c>
    </row>
    <row r="881" spans="8:8" ht="15.1">
      <c r="A881" s="3">
        <v>44731.0</v>
      </c>
      <c r="B881" s="2">
        <v>1957200.0</v>
      </c>
      <c r="C881" s="2">
        <v>29131.0</v>
      </c>
      <c r="D881" s="2">
        <f>_xlfn.IFERROR(B881-B880,0)</f>
        <v>873.0</v>
      </c>
      <c r="E881" s="2">
        <f>_xlfn.IFERROR(C881-C880,0)</f>
        <v>0.0</v>
      </c>
      <c r="F881" s="1">
        <f>INT((A881-DATE(2020,1,22))/7)+1</f>
        <v>126.0</v>
      </c>
      <c r="G881" s="1" t="str">
        <f>"Week_"&amp;F881</f>
        <v>Week_126</v>
      </c>
    </row>
    <row r="882" spans="8:8" ht="15.1">
      <c r="A882" s="3">
        <v>44732.0</v>
      </c>
      <c r="B882" s="2">
        <v>1958074.0</v>
      </c>
      <c r="C882" s="2">
        <v>29133.0</v>
      </c>
      <c r="D882" s="2">
        <f>_xlfn.IFERROR(B882-B881,0)</f>
        <v>874.0</v>
      </c>
      <c r="E882" s="2">
        <f>_xlfn.IFERROR(C882-C881,0)</f>
        <v>2.0</v>
      </c>
      <c r="F882" s="1">
        <f>INT((A882-DATE(2020,1,22))/7)+1</f>
        <v>126.0</v>
      </c>
      <c r="G882" s="1" t="str">
        <f>"Week_"&amp;F882</f>
        <v>Week_126</v>
      </c>
    </row>
    <row r="883" spans="8:8" ht="15.1">
      <c r="A883" s="3">
        <v>44733.0</v>
      </c>
      <c r="B883" s="2">
        <v>1959209.0</v>
      </c>
      <c r="C883" s="2">
        <v>29134.0</v>
      </c>
      <c r="D883" s="2">
        <f>_xlfn.IFERROR(B883-B882,0)</f>
        <v>1135.0</v>
      </c>
      <c r="E883" s="2">
        <f>_xlfn.IFERROR(C883-C882,0)</f>
        <v>1.0</v>
      </c>
      <c r="F883" s="1">
        <f>INT((A883-DATE(2020,1,22))/7)+1</f>
        <v>126.0</v>
      </c>
      <c r="G883" s="1" t="str">
        <f>"Week_"&amp;F883</f>
        <v>Week_126</v>
      </c>
    </row>
    <row r="884" spans="8:8" ht="15.1">
      <c r="A884" s="3">
        <v>44734.0</v>
      </c>
      <c r="B884" s="2">
        <v>1960528.0</v>
      </c>
      <c r="C884" s="2">
        <v>29135.0</v>
      </c>
      <c r="D884" s="2">
        <f>_xlfn.IFERROR(B884-B883,0)</f>
        <v>1319.0</v>
      </c>
      <c r="E884" s="2">
        <f>_xlfn.IFERROR(C884-C883,0)</f>
        <v>1.0</v>
      </c>
      <c r="F884" s="1">
        <f>INT((A884-DATE(2020,1,22))/7)+1</f>
        <v>127.0</v>
      </c>
      <c r="G884" s="1" t="str">
        <f>"Week_"&amp;F884</f>
        <v>Week_127</v>
      </c>
    </row>
    <row r="885" spans="8:8" ht="15.1">
      <c r="A885" s="3">
        <v>44735.0</v>
      </c>
      <c r="B885" s="2">
        <v>1962213.0</v>
      </c>
      <c r="C885" s="2">
        <v>29135.0</v>
      </c>
      <c r="D885" s="2">
        <f>_xlfn.IFERROR(B885-B884,0)</f>
        <v>1685.0</v>
      </c>
      <c r="E885" s="2">
        <f>_xlfn.IFERROR(C885-C884,0)</f>
        <v>0.0</v>
      </c>
      <c r="F885" s="1">
        <f>INT((A885-DATE(2020,1,22))/7)+1</f>
        <v>127.0</v>
      </c>
      <c r="G885" s="1" t="str">
        <f>"Week_"&amp;F885</f>
        <v>Week_127</v>
      </c>
    </row>
    <row r="886" spans="8:8" ht="15.1">
      <c r="A886" s="3">
        <v>44736.0</v>
      </c>
      <c r="B886" s="2">
        <v>1963493.0</v>
      </c>
      <c r="C886" s="2">
        <v>29138.0</v>
      </c>
      <c r="D886" s="2">
        <f>_xlfn.IFERROR(B886-B885,0)</f>
        <v>1280.0</v>
      </c>
      <c r="E886" s="2">
        <f>_xlfn.IFERROR(C886-C885,0)</f>
        <v>3.0</v>
      </c>
      <c r="F886" s="1">
        <f>INT((A886-DATE(2020,1,22))/7)+1</f>
        <v>127.0</v>
      </c>
      <c r="G886" s="1" t="str">
        <f>"Week_"&amp;F886</f>
        <v>Week_127</v>
      </c>
    </row>
    <row r="887" spans="8:8" ht="15.1">
      <c r="A887" s="3">
        <v>44737.0</v>
      </c>
      <c r="B887" s="2">
        <v>1965173.0</v>
      </c>
      <c r="C887" s="2">
        <v>29140.0</v>
      </c>
      <c r="D887" s="2">
        <f>_xlfn.IFERROR(B887-B886,0)</f>
        <v>1680.0</v>
      </c>
      <c r="E887" s="2">
        <f>_xlfn.IFERROR(C887-C886,0)</f>
        <v>2.0</v>
      </c>
      <c r="F887" s="1">
        <f>INT((A887-DATE(2020,1,22))/7)+1</f>
        <v>127.0</v>
      </c>
      <c r="G887" s="1" t="str">
        <f>"Week_"&amp;F887</f>
        <v>Week_127</v>
      </c>
    </row>
    <row r="888" spans="8:8" ht="15.1">
      <c r="A888" s="3">
        <v>44738.0</v>
      </c>
      <c r="B888" s="2">
        <v>1967274.0</v>
      </c>
      <c r="C888" s="2">
        <v>29142.0</v>
      </c>
      <c r="D888" s="2">
        <f>_xlfn.IFERROR(B888-B887,0)</f>
        <v>2101.0</v>
      </c>
      <c r="E888" s="2">
        <f>_xlfn.IFERROR(C888-C887,0)</f>
        <v>2.0</v>
      </c>
      <c r="F888" s="1">
        <f>INT((A888-DATE(2020,1,22))/7)+1</f>
        <v>127.0</v>
      </c>
      <c r="G888" s="1" t="str">
        <f>"Week_"&amp;F888</f>
        <v>Week_127</v>
      </c>
    </row>
    <row r="889" spans="8:8" ht="15.1">
      <c r="A889" s="3">
        <v>44739.0</v>
      </c>
      <c r="B889" s="2">
        <v>1969361.0</v>
      </c>
      <c r="C889" s="2">
        <v>29145.0</v>
      </c>
      <c r="D889" s="2">
        <f>_xlfn.IFERROR(B889-B888,0)</f>
        <v>2087.0</v>
      </c>
      <c r="E889" s="2">
        <f>_xlfn.IFERROR(C889-C888,0)</f>
        <v>3.0</v>
      </c>
      <c r="F889" s="1">
        <f>INT((A889-DATE(2020,1,22))/7)+1</f>
        <v>127.0</v>
      </c>
      <c r="G889" s="1" t="str">
        <f>"Week_"&amp;F889</f>
        <v>Week_127</v>
      </c>
    </row>
    <row r="890" spans="8:8" ht="15.1">
      <c r="A890" s="3">
        <v>44740.0</v>
      </c>
      <c r="B890" s="2">
        <v>1971602.0</v>
      </c>
      <c r="C890" s="2">
        <v>29145.0</v>
      </c>
      <c r="D890" s="2">
        <f>_xlfn.IFERROR(B890-B889,0)</f>
        <v>2241.0</v>
      </c>
      <c r="E890" s="2">
        <f>_xlfn.IFERROR(C890-C889,0)</f>
        <v>0.0</v>
      </c>
      <c r="F890" s="1">
        <f>INT((A890-DATE(2020,1,22))/7)+1</f>
        <v>127.0</v>
      </c>
      <c r="G890" s="1" t="str">
        <f>"Week_"&amp;F890</f>
        <v>Week_127</v>
      </c>
    </row>
    <row r="891" spans="8:8" ht="15.1">
      <c r="A891" s="3">
        <v>44741.0</v>
      </c>
      <c r="B891" s="2">
        <v>1973789.0</v>
      </c>
      <c r="C891" s="2">
        <v>29149.0</v>
      </c>
      <c r="D891" s="2">
        <f>_xlfn.IFERROR(B891-B890,0)</f>
        <v>2187.0</v>
      </c>
      <c r="E891" s="2">
        <f>_xlfn.IFERROR(C891-C890,0)</f>
        <v>4.0</v>
      </c>
      <c r="F891" s="1">
        <f>INT((A891-DATE(2020,1,22))/7)+1</f>
        <v>128.0</v>
      </c>
      <c r="G891" s="1" t="str">
        <f>"Week_"&amp;F891</f>
        <v>Week_128</v>
      </c>
    </row>
    <row r="892" spans="8:8" ht="15.1">
      <c r="A892" s="3">
        <v>44742.0</v>
      </c>
      <c r="B892" s="2">
        <v>1975682.0</v>
      </c>
      <c r="C892" s="2">
        <v>29154.0</v>
      </c>
      <c r="D892" s="2">
        <f>_xlfn.IFERROR(B892-B891,0)</f>
        <v>1893.0</v>
      </c>
      <c r="E892" s="2">
        <f>_xlfn.IFERROR(C892-C891,0)</f>
        <v>5.0</v>
      </c>
      <c r="F892" s="1">
        <f>INT((A892-DATE(2020,1,22))/7)+1</f>
        <v>128.0</v>
      </c>
      <c r="G892" s="1" t="str">
        <f>"Week_"&amp;F892</f>
        <v>Week_128</v>
      </c>
    </row>
    <row r="893" spans="8:8" ht="15.1">
      <c r="A893" s="3">
        <v>44743.0</v>
      </c>
      <c r="B893" s="2">
        <v>1976787.0</v>
      </c>
      <c r="C893" s="2">
        <v>29160.0</v>
      </c>
      <c r="D893" s="2">
        <f>_xlfn.IFERROR(B893-B892,0)</f>
        <v>1105.0</v>
      </c>
      <c r="E893" s="2">
        <f>_xlfn.IFERROR(C893-C892,0)</f>
        <v>6.0</v>
      </c>
      <c r="F893" s="1">
        <f>INT((A893-DATE(2020,1,22))/7)+1</f>
        <v>128.0</v>
      </c>
      <c r="G893" s="1" t="str">
        <f>"Week_"&amp;F893</f>
        <v>Week_128</v>
      </c>
    </row>
    <row r="894" spans="8:8" ht="15.1">
      <c r="A894" s="3">
        <v>44744.0</v>
      </c>
      <c r="B894" s="2">
        <v>1978689.0</v>
      </c>
      <c r="C894" s="2">
        <v>29162.0</v>
      </c>
      <c r="D894" s="2">
        <f>_xlfn.IFERROR(B894-B893,0)</f>
        <v>1902.0</v>
      </c>
      <c r="E894" s="2">
        <f>_xlfn.IFERROR(C894-C893,0)</f>
        <v>2.0</v>
      </c>
      <c r="F894" s="1">
        <f>INT((A894-DATE(2020,1,22))/7)+1</f>
        <v>128.0</v>
      </c>
      <c r="G894" s="1" t="str">
        <f>"Week_"&amp;F894</f>
        <v>Week_128</v>
      </c>
    </row>
    <row r="895" spans="8:8" ht="15.1">
      <c r="A895" s="3">
        <v>44745.0</v>
      </c>
      <c r="B895" s="2">
        <v>1980974.0</v>
      </c>
      <c r="C895" s="2">
        <v>29174.0</v>
      </c>
      <c r="D895" s="2">
        <f>_xlfn.IFERROR(B895-B894,0)</f>
        <v>2285.0</v>
      </c>
      <c r="E895" s="2">
        <f>_xlfn.IFERROR(C895-C894,0)</f>
        <v>12.0</v>
      </c>
      <c r="F895" s="1">
        <f>INT((A895-DATE(2020,1,22))/7)+1</f>
        <v>128.0</v>
      </c>
      <c r="G895" s="1" t="str">
        <f>"Week_"&amp;F895</f>
        <v>Week_128</v>
      </c>
    </row>
    <row r="896" spans="8:8" ht="15.1">
      <c r="A896" s="3">
        <v>44746.0</v>
      </c>
      <c r="B896" s="2">
        <v>1982972.0</v>
      </c>
      <c r="C896" s="2">
        <v>29181.0</v>
      </c>
      <c r="D896" s="2">
        <f>_xlfn.IFERROR(B896-B895,0)</f>
        <v>1998.0</v>
      </c>
      <c r="E896" s="2">
        <f>_xlfn.IFERROR(C896-C895,0)</f>
        <v>7.0</v>
      </c>
      <c r="F896" s="1">
        <f>INT((A896-DATE(2020,1,22))/7)+1</f>
        <v>128.0</v>
      </c>
      <c r="G896" s="1" t="str">
        <f>"Week_"&amp;F896</f>
        <v>Week_128</v>
      </c>
    </row>
    <row r="897" spans="8:8" ht="15.1">
      <c r="A897" s="3">
        <v>44747.0</v>
      </c>
      <c r="B897" s="2">
        <v>1984700.0</v>
      </c>
      <c r="C897" s="2">
        <v>29185.0</v>
      </c>
      <c r="D897" s="2">
        <f>_xlfn.IFERROR(B897-B896,0)</f>
        <v>1728.0</v>
      </c>
      <c r="E897" s="2">
        <f>_xlfn.IFERROR(C897-C896,0)</f>
        <v>4.0</v>
      </c>
      <c r="F897" s="1">
        <f>INT((A897-DATE(2020,1,22))/7)+1</f>
        <v>128.0</v>
      </c>
      <c r="G897" s="1" t="str">
        <f>"Week_"&amp;F897</f>
        <v>Week_128</v>
      </c>
    </row>
    <row r="898" spans="8:8" ht="15.1">
      <c r="A898" s="3">
        <v>44748.0</v>
      </c>
      <c r="B898" s="2">
        <v>1986490.0</v>
      </c>
      <c r="C898" s="2">
        <v>29188.0</v>
      </c>
      <c r="D898" s="2">
        <f>_xlfn.IFERROR(B898-B897,0)</f>
        <v>1790.0</v>
      </c>
      <c r="E898" s="2">
        <f>_xlfn.IFERROR(C898-C897,0)</f>
        <v>3.0</v>
      </c>
      <c r="F898" s="1">
        <f>INT((A898-DATE(2020,1,22))/7)+1</f>
        <v>129.0</v>
      </c>
      <c r="G898" s="1" t="str">
        <f>"Week_"&amp;F898</f>
        <v>Week_129</v>
      </c>
    </row>
    <row r="899" spans="8:8" ht="15.1">
      <c r="A899" s="3">
        <v>44749.0</v>
      </c>
      <c r="B899" s="2">
        <v>1988101.0</v>
      </c>
      <c r="C899" s="2">
        <v>29195.0</v>
      </c>
      <c r="D899" s="2">
        <f>_xlfn.IFERROR(B899-B898,0)</f>
        <v>1611.0</v>
      </c>
      <c r="E899" s="2">
        <f>_xlfn.IFERROR(C899-C898,0)</f>
        <v>7.0</v>
      </c>
      <c r="F899" s="1">
        <f>INT((A899-DATE(2020,1,22))/7)+1</f>
        <v>129.0</v>
      </c>
      <c r="G899" s="1" t="str">
        <f>"Week_"&amp;F899</f>
        <v>Week_129</v>
      </c>
    </row>
    <row r="900" spans="8:8" ht="15.1">
      <c r="A900" s="3">
        <v>44750.0</v>
      </c>
      <c r="B900" s="2">
        <v>1989040.0</v>
      </c>
      <c r="C900" s="2">
        <v>29198.0</v>
      </c>
      <c r="D900" s="2">
        <f>_xlfn.IFERROR(B900-B899,0)</f>
        <v>939.0</v>
      </c>
      <c r="E900" s="2">
        <f>_xlfn.IFERROR(C900-C899,0)</f>
        <v>3.0</v>
      </c>
      <c r="F900" s="1">
        <f>INT((A900-DATE(2020,1,22))/7)+1</f>
        <v>129.0</v>
      </c>
      <c r="G900" s="1" t="str">
        <f>"Week_"&amp;F900</f>
        <v>Week_129</v>
      </c>
    </row>
    <row r="901" spans="8:8" ht="15.1">
      <c r="A901" s="3">
        <v>44751.0</v>
      </c>
      <c r="B901" s="2">
        <v>1989854.0</v>
      </c>
      <c r="C901" s="2">
        <v>29200.0</v>
      </c>
      <c r="D901" s="2">
        <f>_xlfn.IFERROR(B901-B900,0)</f>
        <v>814.0</v>
      </c>
      <c r="E901" s="2">
        <f>_xlfn.IFERROR(C901-C900,0)</f>
        <v>2.0</v>
      </c>
      <c r="F901" s="1">
        <f>INT((A901-DATE(2020,1,22))/7)+1</f>
        <v>129.0</v>
      </c>
      <c r="G901" s="1" t="str">
        <f>"Week_"&amp;F901</f>
        <v>Week_129</v>
      </c>
    </row>
    <row r="902" spans="8:8" ht="15.1">
      <c r="A902" s="3">
        <v>44752.0</v>
      </c>
      <c r="B902" s="2">
        <v>1990375.0</v>
      </c>
      <c r="C902" s="2">
        <v>29203.0</v>
      </c>
      <c r="D902" s="2">
        <f>_xlfn.IFERROR(B902-B901,0)</f>
        <v>521.0</v>
      </c>
      <c r="E902" s="2">
        <f>_xlfn.IFERROR(C902-C901,0)</f>
        <v>3.0</v>
      </c>
      <c r="F902" s="1">
        <f>INT((A902-DATE(2020,1,22))/7)+1</f>
        <v>129.0</v>
      </c>
      <c r="G902" s="1" t="str">
        <f>"Week_"&amp;F902</f>
        <v>Week_129</v>
      </c>
    </row>
    <row r="903" spans="8:8" ht="15.1">
      <c r="A903" s="3">
        <v>44753.0</v>
      </c>
      <c r="B903" s="2">
        <v>1991031.0</v>
      </c>
      <c r="C903" s="2">
        <v>29212.0</v>
      </c>
      <c r="D903" s="2">
        <f>_xlfn.IFERROR(B903-B902,0)</f>
        <v>656.0</v>
      </c>
      <c r="E903" s="2">
        <f>_xlfn.IFERROR(C903-C902,0)</f>
        <v>9.0</v>
      </c>
      <c r="F903" s="1">
        <f>INT((A903-DATE(2020,1,22))/7)+1</f>
        <v>129.0</v>
      </c>
      <c r="G903" s="1" t="str">
        <f>"Week_"&amp;F903</f>
        <v>Week_129</v>
      </c>
    </row>
    <row r="904" spans="8:8" ht="15.1">
      <c r="A904" s="3">
        <v>44754.0</v>
      </c>
      <c r="B904" s="2">
        <v>1992058.0</v>
      </c>
      <c r="C904" s="2">
        <v>29217.0</v>
      </c>
      <c r="D904" s="2">
        <f>_xlfn.IFERROR(B904-B903,0)</f>
        <v>1027.0</v>
      </c>
      <c r="E904" s="2">
        <f>_xlfn.IFERROR(C904-C903,0)</f>
        <v>5.0</v>
      </c>
      <c r="F904" s="1">
        <f>INT((A904-DATE(2020,1,22))/7)+1</f>
        <v>129.0</v>
      </c>
      <c r="G904" s="1" t="str">
        <f>"Week_"&amp;F904</f>
        <v>Week_129</v>
      </c>
    </row>
    <row r="905" spans="8:8" ht="15.1">
      <c r="A905" s="3">
        <v>44755.0</v>
      </c>
      <c r="B905" s="2">
        <v>1993382.0</v>
      </c>
      <c r="C905" s="2">
        <v>29223.0</v>
      </c>
      <c r="D905" s="2">
        <f>_xlfn.IFERROR(B905-B904,0)</f>
        <v>1324.0</v>
      </c>
      <c r="E905" s="2">
        <f>_xlfn.IFERROR(C905-C904,0)</f>
        <v>6.0</v>
      </c>
      <c r="F905" s="1">
        <f>INT((A905-DATE(2020,1,22))/7)+1</f>
        <v>130.0</v>
      </c>
      <c r="G905" s="1" t="str">
        <f>"Week_"&amp;F905</f>
        <v>Week_130</v>
      </c>
    </row>
    <row r="906" spans="8:8" ht="15.1">
      <c r="A906" s="3">
        <v>44756.0</v>
      </c>
      <c r="B906" s="2">
        <v>1994433.0</v>
      </c>
      <c r="C906" s="2">
        <v>29225.0</v>
      </c>
      <c r="D906" s="2">
        <f>_xlfn.IFERROR(B906-B905,0)</f>
        <v>1051.0</v>
      </c>
      <c r="E906" s="2">
        <f>_xlfn.IFERROR(C906-C905,0)</f>
        <v>2.0</v>
      </c>
      <c r="F906" s="1">
        <f>INT((A906-DATE(2020,1,22))/7)+1</f>
        <v>130.0</v>
      </c>
      <c r="G906" s="1" t="str">
        <f>"Week_"&amp;F906</f>
        <v>Week_130</v>
      </c>
    </row>
    <row r="907" spans="8:8" ht="15.1">
      <c r="A907" s="3">
        <v>44757.0</v>
      </c>
      <c r="B907" s="2">
        <v>1995440.0</v>
      </c>
      <c r="C907" s="2">
        <v>29230.0</v>
      </c>
      <c r="D907" s="2">
        <f>_xlfn.IFERROR(B907-B906,0)</f>
        <v>1007.0</v>
      </c>
      <c r="E907" s="2">
        <f>_xlfn.IFERROR(C907-C906,0)</f>
        <v>5.0</v>
      </c>
      <c r="F907" s="1">
        <f>INT((A907-DATE(2020,1,22))/7)+1</f>
        <v>130.0</v>
      </c>
      <c r="G907" s="1" t="str">
        <f>"Week_"&amp;F907</f>
        <v>Week_130</v>
      </c>
    </row>
    <row r="908" spans="8:8" ht="15.1">
      <c r="A908" s="3">
        <v>44758.0</v>
      </c>
      <c r="B908" s="2">
        <v>1996340.0</v>
      </c>
      <c r="C908" s="2">
        <v>29234.0</v>
      </c>
      <c r="D908" s="2">
        <f>_xlfn.IFERROR(B908-B907,0)</f>
        <v>900.0</v>
      </c>
      <c r="E908" s="2">
        <f>_xlfn.IFERROR(C908-C907,0)</f>
        <v>4.0</v>
      </c>
      <c r="F908" s="1">
        <f>INT((A908-DATE(2020,1,22))/7)+1</f>
        <v>130.0</v>
      </c>
      <c r="G908" s="1" t="str">
        <f>"Week_"&amp;F908</f>
        <v>Week_130</v>
      </c>
    </row>
    <row r="909" spans="8:8" ht="15.1">
      <c r="A909" s="3">
        <v>44759.0</v>
      </c>
      <c r="B909" s="2">
        <v>1997412.0</v>
      </c>
      <c r="C909" s="2">
        <v>29241.0</v>
      </c>
      <c r="D909" s="2">
        <f>_xlfn.IFERROR(B909-B908,0)</f>
        <v>1072.0</v>
      </c>
      <c r="E909" s="2">
        <f>_xlfn.IFERROR(C909-C908,0)</f>
        <v>7.0</v>
      </c>
      <c r="F909" s="1">
        <f>INT((A909-DATE(2020,1,22))/7)+1</f>
        <v>130.0</v>
      </c>
      <c r="G909" s="1" t="str">
        <f>"Week_"&amp;F909</f>
        <v>Week_130</v>
      </c>
    </row>
    <row r="910" spans="8:8" ht="15.1">
      <c r="A910" s="3">
        <v>44760.0</v>
      </c>
      <c r="B910" s="2">
        <v>1998291.0</v>
      </c>
      <c r="C910" s="2">
        <v>29249.0</v>
      </c>
      <c r="D910" s="2">
        <f>_xlfn.IFERROR(B910-B909,0)</f>
        <v>879.0</v>
      </c>
      <c r="E910" s="2">
        <f>_xlfn.IFERROR(C910-C909,0)</f>
        <v>8.0</v>
      </c>
      <c r="F910" s="1">
        <f>INT((A910-DATE(2020,1,22))/7)+1</f>
        <v>130.0</v>
      </c>
      <c r="G910" s="1" t="str">
        <f>"Week_"&amp;F910</f>
        <v>Week_130</v>
      </c>
    </row>
    <row r="911" spans="8:8" ht="15.1">
      <c r="A911" s="3">
        <v>44761.0</v>
      </c>
      <c r="B911" s="2">
        <v>1999395.0</v>
      </c>
      <c r="C911" s="2">
        <v>29250.0</v>
      </c>
      <c r="D911" s="2">
        <f>_xlfn.IFERROR(B911-B910,0)</f>
        <v>1104.0</v>
      </c>
      <c r="E911" s="2">
        <f>_xlfn.IFERROR(C911-C910,0)</f>
        <v>1.0</v>
      </c>
      <c r="F911" s="1">
        <f>INT((A911-DATE(2020,1,22))/7)+1</f>
        <v>130.0</v>
      </c>
      <c r="G911" s="1" t="str">
        <f>"Week_"&amp;F911</f>
        <v>Week_130</v>
      </c>
    </row>
    <row r="912" spans="8:8" ht="15.1">
      <c r="A912" s="3">
        <v>44762.0</v>
      </c>
      <c r="B912" s="2">
        <v>2000279.0</v>
      </c>
      <c r="C912" s="2">
        <v>29256.0</v>
      </c>
      <c r="D912" s="2">
        <f>_xlfn.IFERROR(B912-B911,0)</f>
        <v>884.0</v>
      </c>
      <c r="E912" s="2">
        <f>_xlfn.IFERROR(C912-C911,0)</f>
        <v>6.0</v>
      </c>
      <c r="F912" s="1">
        <f>INT((A912-DATE(2020,1,22))/7)+1</f>
        <v>131.0</v>
      </c>
      <c r="G912" s="1" t="str">
        <f>"Week_"&amp;F912</f>
        <v>Week_131</v>
      </c>
    </row>
    <row r="913" spans="8:8" ht="15.1">
      <c r="A913" s="3">
        <v>44763.0</v>
      </c>
      <c r="B913" s="2">
        <v>2000899.0</v>
      </c>
      <c r="C913" s="2">
        <v>29258.0</v>
      </c>
      <c r="D913" s="2">
        <f>_xlfn.IFERROR(B913-B912,0)</f>
        <v>620.0</v>
      </c>
      <c r="E913" s="2">
        <f>_xlfn.IFERROR(C913-C912,0)</f>
        <v>2.0</v>
      </c>
      <c r="F913" s="1">
        <f>INT((A913-DATE(2020,1,22))/7)+1</f>
        <v>131.0</v>
      </c>
      <c r="G913" s="1" t="str">
        <f>"Week_"&amp;F913</f>
        <v>Week_131</v>
      </c>
    </row>
    <row r="914" spans="8:8" ht="15.1">
      <c r="A914" s="3">
        <v>44764.0</v>
      </c>
      <c r="B914" s="2">
        <v>2001345.0</v>
      </c>
      <c r="C914" s="2">
        <v>29262.0</v>
      </c>
      <c r="D914" s="2">
        <f>_xlfn.IFERROR(B914-B913,0)</f>
        <v>446.0</v>
      </c>
      <c r="E914" s="2">
        <f>_xlfn.IFERROR(C914-C913,0)</f>
        <v>4.0</v>
      </c>
      <c r="F914" s="1">
        <f>INT((A914-DATE(2020,1,22))/7)+1</f>
        <v>131.0</v>
      </c>
      <c r="G914" s="1" t="str">
        <f>"Week_"&amp;F914</f>
        <v>Week_131</v>
      </c>
    </row>
    <row r="915" spans="8:8" ht="15.1">
      <c r="A915" s="3">
        <v>44765.0</v>
      </c>
      <c r="B915" s="2">
        <v>2001775.0</v>
      </c>
      <c r="C915" s="2">
        <v>29266.0</v>
      </c>
      <c r="D915" s="2">
        <f>_xlfn.IFERROR(B915-B914,0)</f>
        <v>430.0</v>
      </c>
      <c r="E915" s="2">
        <f>_xlfn.IFERROR(C915-C914,0)</f>
        <v>4.0</v>
      </c>
      <c r="F915" s="1">
        <f>INT((A915-DATE(2020,1,22))/7)+1</f>
        <v>131.0</v>
      </c>
      <c r="G915" s="1" t="str">
        <f>"Week_"&amp;F915</f>
        <v>Week_131</v>
      </c>
    </row>
    <row r="916" spans="8:8" ht="15.1">
      <c r="A916" s="3">
        <v>44766.0</v>
      </c>
      <c r="B916" s="2">
        <v>2002323.0</v>
      </c>
      <c r="C916" s="2">
        <v>29271.0</v>
      </c>
      <c r="D916" s="2">
        <f>_xlfn.IFERROR(B916-B915,0)</f>
        <v>548.0</v>
      </c>
      <c r="E916" s="2">
        <f>_xlfn.IFERROR(C916-C915,0)</f>
        <v>5.0</v>
      </c>
      <c r="F916" s="1">
        <f>INT((A916-DATE(2020,1,22))/7)+1</f>
        <v>131.0</v>
      </c>
      <c r="G916" s="1" t="str">
        <f>"Week_"&amp;F916</f>
        <v>Week_131</v>
      </c>
    </row>
    <row r="917" spans="8:8" ht="15.1">
      <c r="A917" s="3">
        <v>44767.0</v>
      </c>
      <c r="B917" s="2">
        <v>2002944.0</v>
      </c>
      <c r="C917" s="2">
        <v>29275.0</v>
      </c>
      <c r="D917" s="2">
        <f>_xlfn.IFERROR(B917-B916,0)</f>
        <v>621.0</v>
      </c>
      <c r="E917" s="2">
        <f>_xlfn.IFERROR(C917-C916,0)</f>
        <v>4.0</v>
      </c>
      <c r="F917" s="1">
        <f>INT((A917-DATE(2020,1,22))/7)+1</f>
        <v>131.0</v>
      </c>
      <c r="G917" s="1" t="str">
        <f>"Week_"&amp;F917</f>
        <v>Week_131</v>
      </c>
    </row>
    <row r="918" spans="8:8" ht="15.1">
      <c r="A918" s="3">
        <v>44768.0</v>
      </c>
      <c r="B918" s="2">
        <v>2003570.0</v>
      </c>
      <c r="C918" s="2">
        <v>29280.0</v>
      </c>
      <c r="D918" s="2">
        <f>_xlfn.IFERROR(B918-B917,0)</f>
        <v>626.0</v>
      </c>
      <c r="E918" s="2">
        <f>_xlfn.IFERROR(C918-C917,0)</f>
        <v>5.0</v>
      </c>
      <c r="F918" s="1">
        <f>INT((A918-DATE(2020,1,22))/7)+1</f>
        <v>131.0</v>
      </c>
      <c r="G918" s="1" t="str">
        <f>"Week_"&amp;F918</f>
        <v>Week_131</v>
      </c>
    </row>
    <row r="919" spans="8:8" ht="15.1">
      <c r="A919" s="3">
        <v>44769.0</v>
      </c>
      <c r="B919" s="2">
        <v>2004188.0</v>
      </c>
      <c r="C919" s="2">
        <v>29284.0</v>
      </c>
      <c r="D919" s="2">
        <f>_xlfn.IFERROR(B919-B918,0)</f>
        <v>618.0</v>
      </c>
      <c r="E919" s="2">
        <f>_xlfn.IFERROR(C919-C918,0)</f>
        <v>4.0</v>
      </c>
      <c r="F919" s="1">
        <f>INT((A919-DATE(2020,1,22))/7)+1</f>
        <v>132.0</v>
      </c>
      <c r="G919" s="1" t="str">
        <f>"Week_"&amp;F919</f>
        <v>Week_132</v>
      </c>
    </row>
    <row r="920" spans="8:8" ht="15.1">
      <c r="A920" s="3">
        <v>44770.0</v>
      </c>
      <c r="B920" s="2">
        <v>2004543.0</v>
      </c>
      <c r="C920" s="2">
        <v>29285.0</v>
      </c>
      <c r="D920" s="2">
        <f>_xlfn.IFERROR(B920-B919,0)</f>
        <v>355.0</v>
      </c>
      <c r="E920" s="2">
        <f>_xlfn.IFERROR(C920-C919,0)</f>
        <v>1.0</v>
      </c>
      <c r="F920" s="1">
        <f>INT((A920-DATE(2020,1,22))/7)+1</f>
        <v>132.0</v>
      </c>
      <c r="G920" s="1" t="str">
        <f>"Week_"&amp;F920</f>
        <v>Week_132</v>
      </c>
    </row>
    <row r="921" spans="8:8" ht="15.1">
      <c r="A921" s="3">
        <v>44771.0</v>
      </c>
      <c r="B921" s="2">
        <v>2004892.0</v>
      </c>
      <c r="C921" s="2">
        <v>29288.0</v>
      </c>
      <c r="D921" s="2">
        <f>_xlfn.IFERROR(B921-B920,0)</f>
        <v>349.0</v>
      </c>
      <c r="E921" s="2">
        <f>_xlfn.IFERROR(C921-C920,0)</f>
        <v>3.0</v>
      </c>
      <c r="F921" s="1">
        <f>INT((A921-DATE(2020,1,22))/7)+1</f>
        <v>132.0</v>
      </c>
      <c r="G921" s="1" t="str">
        <f>"Week_"&amp;F921</f>
        <v>Week_132</v>
      </c>
    </row>
    <row r="922" spans="8:8" ht="15.1">
      <c r="A922" s="3">
        <v>44772.0</v>
      </c>
      <c r="B922" s="2">
        <v>2005257.0</v>
      </c>
      <c r="C922" s="2">
        <v>29291.0</v>
      </c>
      <c r="D922" s="2">
        <f>_xlfn.IFERROR(B922-B921,0)</f>
        <v>365.0</v>
      </c>
      <c r="E922" s="2">
        <f>_xlfn.IFERROR(C922-C921,0)</f>
        <v>3.0</v>
      </c>
      <c r="F922" s="1">
        <f>INT((A922-DATE(2020,1,22))/7)+1</f>
        <v>132.0</v>
      </c>
      <c r="G922" s="1" t="str">
        <f>"Week_"&amp;F922</f>
        <v>Week_132</v>
      </c>
    </row>
    <row r="923" spans="8:8" ht="15.1">
      <c r="A923" s="3">
        <v>44773.0</v>
      </c>
      <c r="B923" s="2">
        <v>2005606.0</v>
      </c>
      <c r="C923" s="2">
        <v>29292.0</v>
      </c>
      <c r="D923" s="2">
        <f>_xlfn.IFERROR(B923-B922,0)</f>
        <v>349.0</v>
      </c>
      <c r="E923" s="2">
        <f>_xlfn.IFERROR(C923-C922,0)</f>
        <v>1.0</v>
      </c>
      <c r="F923" s="1">
        <f>INT((A923-DATE(2020,1,22))/7)+1</f>
        <v>132.0</v>
      </c>
      <c r="G923" s="1" t="str">
        <f>"Week_"&amp;F923</f>
        <v>Week_132</v>
      </c>
    </row>
    <row r="924" spans="8:8" ht="15.1">
      <c r="A924" s="3">
        <v>44774.0</v>
      </c>
      <c r="B924" s="2">
        <v>2005993.0</v>
      </c>
      <c r="C924" s="2">
        <v>29295.0</v>
      </c>
      <c r="D924" s="2">
        <f>_xlfn.IFERROR(B924-B923,0)</f>
        <v>387.0</v>
      </c>
      <c r="E924" s="2">
        <f>_xlfn.IFERROR(C924-C923,0)</f>
        <v>3.0</v>
      </c>
      <c r="F924" s="1">
        <f>INT((A924-DATE(2020,1,22))/7)+1</f>
        <v>132.0</v>
      </c>
      <c r="G924" s="1" t="str">
        <f>"Week_"&amp;F924</f>
        <v>Week_132</v>
      </c>
    </row>
    <row r="925" spans="8:8" ht="15.1">
      <c r="A925" s="3">
        <v>44775.0</v>
      </c>
      <c r="B925" s="2">
        <v>2006368.0</v>
      </c>
      <c r="C925" s="2">
        <v>29298.0</v>
      </c>
      <c r="D925" s="2">
        <f>_xlfn.IFERROR(B925-B924,0)</f>
        <v>375.0</v>
      </c>
      <c r="E925" s="2">
        <f>_xlfn.IFERROR(C925-C924,0)</f>
        <v>3.0</v>
      </c>
      <c r="F925" s="1">
        <f>INT((A925-DATE(2020,1,22))/7)+1</f>
        <v>132.0</v>
      </c>
      <c r="G925" s="1" t="str">
        <f>"Week_"&amp;F925</f>
        <v>Week_132</v>
      </c>
    </row>
    <row r="926" spans="8:8" ht="15.1">
      <c r="A926" s="3">
        <v>44776.0</v>
      </c>
      <c r="B926" s="2">
        <v>2006646.0</v>
      </c>
      <c r="C926" s="2">
        <v>29300.0</v>
      </c>
      <c r="D926" s="2">
        <f>_xlfn.IFERROR(B926-B925,0)</f>
        <v>278.0</v>
      </c>
      <c r="E926" s="2">
        <f>_xlfn.IFERROR(C926-C925,0)</f>
        <v>2.0</v>
      </c>
      <c r="F926" s="1">
        <f>INT((A926-DATE(2020,1,22))/7)+1</f>
        <v>133.0</v>
      </c>
      <c r="G926" s="1" t="str">
        <f>"Week_"&amp;F926</f>
        <v>Week_133</v>
      </c>
    </row>
    <row r="927" spans="8:8" ht="15.1">
      <c r="A927" s="3">
        <v>44777.0</v>
      </c>
      <c r="B927" s="2">
        <v>2006899.0</v>
      </c>
      <c r="C927" s="2">
        <v>29302.0</v>
      </c>
      <c r="D927" s="2">
        <f>_xlfn.IFERROR(B927-B926,0)</f>
        <v>253.0</v>
      </c>
      <c r="E927" s="2">
        <f>_xlfn.IFERROR(C927-C926,0)</f>
        <v>2.0</v>
      </c>
      <c r="F927" s="1">
        <f>INT((A927-DATE(2020,1,22))/7)+1</f>
        <v>133.0</v>
      </c>
      <c r="G927" s="1" t="str">
        <f>"Week_"&amp;F927</f>
        <v>Week_133</v>
      </c>
    </row>
    <row r="928" spans="8:8" ht="15.1">
      <c r="A928" s="3">
        <v>44778.0</v>
      </c>
      <c r="B928" s="2">
        <v>2007119.0</v>
      </c>
      <c r="C928" s="2">
        <v>29304.0</v>
      </c>
      <c r="D928" s="2">
        <f>_xlfn.IFERROR(B928-B927,0)</f>
        <v>220.0</v>
      </c>
      <c r="E928" s="2">
        <f>_xlfn.IFERROR(C928-C927,0)</f>
        <v>2.0</v>
      </c>
      <c r="F928" s="1">
        <f>INT((A928-DATE(2020,1,22))/7)+1</f>
        <v>133.0</v>
      </c>
      <c r="G928" s="1" t="str">
        <f>"Week_"&amp;F928</f>
        <v>Week_133</v>
      </c>
    </row>
    <row r="929" spans="8:8" ht="15.1">
      <c r="A929" s="3">
        <v>44779.0</v>
      </c>
      <c r="B929" s="2">
        <v>2007335.0</v>
      </c>
      <c r="C929" s="2">
        <v>29304.0</v>
      </c>
      <c r="D929" s="2">
        <f>_xlfn.IFERROR(B929-B928,0)</f>
        <v>216.0</v>
      </c>
      <c r="E929" s="2">
        <f>_xlfn.IFERROR(C929-C928,0)</f>
        <v>0.0</v>
      </c>
      <c r="F929" s="1">
        <f>INT((A929-DATE(2020,1,22))/7)+1</f>
        <v>133.0</v>
      </c>
      <c r="G929" s="1" t="str">
        <f>"Week_"&amp;F929</f>
        <v>Week_133</v>
      </c>
    </row>
    <row r="930" spans="8:8" ht="15.1">
      <c r="A930" s="3">
        <v>44780.0</v>
      </c>
      <c r="B930" s="2">
        <v>2007631.0</v>
      </c>
      <c r="C930" s="2">
        <v>29307.0</v>
      </c>
      <c r="D930" s="2">
        <f>_xlfn.IFERROR(B930-B929,0)</f>
        <v>296.0</v>
      </c>
      <c r="E930" s="2">
        <f>_xlfn.IFERROR(C930-C929,0)</f>
        <v>3.0</v>
      </c>
      <c r="F930" s="1">
        <f>INT((A930-DATE(2020,1,22))/7)+1</f>
        <v>133.0</v>
      </c>
      <c r="G930" s="1" t="str">
        <f>"Week_"&amp;F930</f>
        <v>Week_133</v>
      </c>
    </row>
    <row r="931" spans="8:8" ht="15.1">
      <c r="A931" s="3">
        <v>44781.0</v>
      </c>
      <c r="B931" s="2">
        <v>2007870.0</v>
      </c>
      <c r="C931" s="2">
        <v>29308.0</v>
      </c>
      <c r="D931" s="2">
        <f>_xlfn.IFERROR(B931-B930,0)</f>
        <v>239.0</v>
      </c>
      <c r="E931" s="2">
        <f>_xlfn.IFERROR(C931-C930,0)</f>
        <v>1.0</v>
      </c>
      <c r="F931" s="1">
        <f>INT((A931-DATE(2020,1,22))/7)+1</f>
        <v>133.0</v>
      </c>
      <c r="G931" s="1" t="str">
        <f>"Week_"&amp;F931</f>
        <v>Week_133</v>
      </c>
    </row>
    <row r="932" spans="8:8" ht="15.1">
      <c r="A932" s="3">
        <v>44782.0</v>
      </c>
      <c r="B932" s="2">
        <v>2008068.0</v>
      </c>
      <c r="C932" s="2">
        <v>29309.0</v>
      </c>
      <c r="D932" s="2">
        <f>_xlfn.IFERROR(B932-B931,0)</f>
        <v>198.0</v>
      </c>
      <c r="E932" s="2">
        <f>_xlfn.IFERROR(C932-C931,0)</f>
        <v>1.0</v>
      </c>
      <c r="F932" s="1">
        <f>INT((A932-DATE(2020,1,22))/7)+1</f>
        <v>133.0</v>
      </c>
      <c r="G932" s="1" t="str">
        <f>"Week_"&amp;F932</f>
        <v>Week_133</v>
      </c>
    </row>
    <row r="933" spans="8:8" ht="15.1">
      <c r="A933" s="3">
        <v>44783.0</v>
      </c>
      <c r="B933" s="2">
        <v>2008282.0</v>
      </c>
      <c r="C933" s="2">
        <v>29310.0</v>
      </c>
      <c r="D933" s="2">
        <f>_xlfn.IFERROR(B933-B932,0)</f>
        <v>214.0</v>
      </c>
      <c r="E933" s="2">
        <f>_xlfn.IFERROR(C933-C932,0)</f>
        <v>1.0</v>
      </c>
      <c r="F933" s="1">
        <f>INT((A933-DATE(2020,1,22))/7)+1</f>
        <v>134.0</v>
      </c>
      <c r="G933" s="1" t="str">
        <f>"Week_"&amp;F933</f>
        <v>Week_134</v>
      </c>
    </row>
    <row r="934" spans="8:8" ht="15.1">
      <c r="A934" s="3">
        <v>44784.0</v>
      </c>
      <c r="B934" s="2">
        <v>2008500.0</v>
      </c>
      <c r="C934" s="2">
        <v>29312.0</v>
      </c>
      <c r="D934" s="2">
        <f>_xlfn.IFERROR(B934-B933,0)</f>
        <v>218.0</v>
      </c>
      <c r="E934" s="2">
        <f>_xlfn.IFERROR(C934-C933,0)</f>
        <v>2.0</v>
      </c>
      <c r="F934" s="1">
        <f>INT((A934-DATE(2020,1,22))/7)+1</f>
        <v>134.0</v>
      </c>
      <c r="G934" s="1" t="str">
        <f>"Week_"&amp;F934</f>
        <v>Week_134</v>
      </c>
    </row>
    <row r="935" spans="8:8" ht="15.1">
      <c r="A935" s="3">
        <v>44785.0</v>
      </c>
      <c r="B935" s="2">
        <v>2008644.0</v>
      </c>
      <c r="C935" s="2">
        <v>29312.0</v>
      </c>
      <c r="D935" s="2">
        <f>_xlfn.IFERROR(B935-B934,0)</f>
        <v>144.0</v>
      </c>
      <c r="E935" s="2">
        <f>_xlfn.IFERROR(C935-C934,0)</f>
        <v>0.0</v>
      </c>
      <c r="F935" s="1">
        <f>INT((A935-DATE(2020,1,22))/7)+1</f>
        <v>134.0</v>
      </c>
      <c r="G935" s="1" t="str">
        <f>"Week_"&amp;F935</f>
        <v>Week_134</v>
      </c>
    </row>
    <row r="936" spans="8:8" ht="15.1">
      <c r="A936" s="3">
        <v>44786.0</v>
      </c>
      <c r="B936" s="2">
        <v>2008870.0</v>
      </c>
      <c r="C936" s="2">
        <v>29313.0</v>
      </c>
      <c r="D936" s="2">
        <f>_xlfn.IFERROR(B936-B935,0)</f>
        <v>226.0</v>
      </c>
      <c r="E936" s="2">
        <f>_xlfn.IFERROR(C936-C935,0)</f>
        <v>1.0</v>
      </c>
      <c r="F936" s="1">
        <f>INT((A936-DATE(2020,1,22))/7)+1</f>
        <v>134.0</v>
      </c>
      <c r="G936" s="1" t="str">
        <f>"Week_"&amp;F936</f>
        <v>Week_134</v>
      </c>
    </row>
    <row r="937" spans="8:8" ht="15.1">
      <c r="A937" s="3">
        <v>44787.0</v>
      </c>
      <c r="B937" s="2">
        <v>2009129.0</v>
      </c>
      <c r="C937" s="2">
        <v>29314.0</v>
      </c>
      <c r="D937" s="2">
        <f>_xlfn.IFERROR(B937-B936,0)</f>
        <v>259.0</v>
      </c>
      <c r="E937" s="2">
        <f>_xlfn.IFERROR(C937-C936,0)</f>
        <v>1.0</v>
      </c>
      <c r="F937" s="1">
        <f>INT((A937-DATE(2020,1,22))/7)+1</f>
        <v>134.0</v>
      </c>
      <c r="G937" s="1" t="str">
        <f>"Week_"&amp;F937</f>
        <v>Week_134</v>
      </c>
    </row>
    <row r="938" spans="8:8" ht="15.1">
      <c r="A938" s="3">
        <v>44788.0</v>
      </c>
      <c r="B938" s="2">
        <v>2009222.0</v>
      </c>
      <c r="C938" s="2">
        <v>29314.0</v>
      </c>
      <c r="D938" s="2">
        <f>_xlfn.IFERROR(B938-B937,0)</f>
        <v>93.0</v>
      </c>
      <c r="E938" s="2">
        <f>_xlfn.IFERROR(C938-C937,0)</f>
        <v>0.0</v>
      </c>
      <c r="F938" s="1">
        <f>INT((A938-DATE(2020,1,22))/7)+1</f>
        <v>134.0</v>
      </c>
      <c r="G938" s="1" t="str">
        <f>"Week_"&amp;F938</f>
        <v>Week_134</v>
      </c>
    </row>
    <row r="939" spans="8:8" ht="15.1">
      <c r="A939" s="3">
        <v>44789.0</v>
      </c>
      <c r="B939" s="2">
        <v>2009434.0</v>
      </c>
      <c r="C939" s="2">
        <v>29314.0</v>
      </c>
      <c r="D939" s="2">
        <f>_xlfn.IFERROR(B939-B938,0)</f>
        <v>212.0</v>
      </c>
      <c r="E939" s="2">
        <f>_xlfn.IFERROR(C939-C938,0)</f>
        <v>0.0</v>
      </c>
      <c r="F939" s="1">
        <f>INT((A939-DATE(2020,1,22))/7)+1</f>
        <v>134.0</v>
      </c>
      <c r="G939" s="1" t="str">
        <f>"Week_"&amp;F939</f>
        <v>Week_134</v>
      </c>
    </row>
    <row r="940" spans="8:8" ht="15.1">
      <c r="A940" s="3">
        <v>44790.0</v>
      </c>
      <c r="B940" s="2">
        <v>2009604.0</v>
      </c>
      <c r="C940" s="2">
        <v>29315.0</v>
      </c>
      <c r="D940" s="2">
        <f>_xlfn.IFERROR(B940-B939,0)</f>
        <v>170.0</v>
      </c>
      <c r="E940" s="2">
        <f>_xlfn.IFERROR(C940-C939,0)</f>
        <v>1.0</v>
      </c>
      <c r="F940" s="1">
        <f>INT((A940-DATE(2020,1,22))/7)+1</f>
        <v>135.0</v>
      </c>
      <c r="G940" s="1" t="str">
        <f>"Week_"&amp;F940</f>
        <v>Week_135</v>
      </c>
    </row>
    <row r="941" spans="8:8" ht="15.1">
      <c r="A941" s="3">
        <v>44791.0</v>
      </c>
      <c r="B941" s="2">
        <v>2009697.0</v>
      </c>
      <c r="C941" s="2">
        <v>29315.0</v>
      </c>
      <c r="D941" s="2">
        <f>_xlfn.IFERROR(B941-B940,0)</f>
        <v>93.0</v>
      </c>
      <c r="E941" s="2">
        <f>_xlfn.IFERROR(C941-C940,0)</f>
        <v>0.0</v>
      </c>
      <c r="F941" s="1">
        <f>INT((A941-DATE(2020,1,22))/7)+1</f>
        <v>135.0</v>
      </c>
      <c r="G941" s="1" t="str">
        <f>"Week_"&amp;F941</f>
        <v>Week_135</v>
      </c>
    </row>
    <row r="942" spans="8:8" ht="15.1">
      <c r="A942" s="3">
        <v>44792.0</v>
      </c>
      <c r="B942" s="2">
        <v>2009797.0</v>
      </c>
      <c r="C942" s="2">
        <v>29315.0</v>
      </c>
      <c r="D942" s="2">
        <f>_xlfn.IFERROR(B942-B941,0)</f>
        <v>100.0</v>
      </c>
      <c r="E942" s="2">
        <f>_xlfn.IFERROR(C942-C941,0)</f>
        <v>0.0</v>
      </c>
      <c r="F942" s="1">
        <f>INT((A942-DATE(2020,1,22))/7)+1</f>
        <v>135.0</v>
      </c>
      <c r="G942" s="1" t="str">
        <f>"Week_"&amp;F942</f>
        <v>Week_135</v>
      </c>
    </row>
    <row r="943" spans="8:8" ht="15.1">
      <c r="A943" s="3">
        <v>44793.0</v>
      </c>
      <c r="B943" s="2">
        <v>2009970.0</v>
      </c>
      <c r="C943" s="2">
        <v>29315.0</v>
      </c>
      <c r="D943" s="2">
        <f>_xlfn.IFERROR(B943-B942,0)</f>
        <v>173.0</v>
      </c>
      <c r="E943" s="2">
        <f>_xlfn.IFERROR(C943-C942,0)</f>
        <v>0.0</v>
      </c>
      <c r="F943" s="1">
        <f>INT((A943-DATE(2020,1,22))/7)+1</f>
        <v>135.0</v>
      </c>
      <c r="G943" s="1" t="str">
        <f>"Week_"&amp;F943</f>
        <v>Week_135</v>
      </c>
    </row>
    <row r="944" spans="8:8" ht="15.1">
      <c r="A944" s="3">
        <v>44794.0</v>
      </c>
      <c r="B944" s="2">
        <v>2010148.0</v>
      </c>
      <c r="C944" s="2">
        <v>29316.0</v>
      </c>
      <c r="D944" s="2">
        <f>_xlfn.IFERROR(B944-B943,0)</f>
        <v>178.0</v>
      </c>
      <c r="E944" s="2">
        <f>_xlfn.IFERROR(C944-C943,0)</f>
        <v>1.0</v>
      </c>
      <c r="F944" s="1">
        <f>INT((A944-DATE(2020,1,22))/7)+1</f>
        <v>135.0</v>
      </c>
      <c r="G944" s="1" t="str">
        <f>"Week_"&amp;F944</f>
        <v>Week_135</v>
      </c>
    </row>
    <row r="945" spans="8:8" ht="15.1">
      <c r="A945" s="3">
        <v>44795.0</v>
      </c>
      <c r="B945" s="2">
        <v>2010323.0</v>
      </c>
      <c r="C945" s="2">
        <v>29316.0</v>
      </c>
      <c r="D945" s="2">
        <f>_xlfn.IFERROR(B945-B944,0)</f>
        <v>175.0</v>
      </c>
      <c r="E945" s="2">
        <f>_xlfn.IFERROR(C945-C944,0)</f>
        <v>0.0</v>
      </c>
      <c r="F945" s="1">
        <f>INT((A945-DATE(2020,1,22))/7)+1</f>
        <v>135.0</v>
      </c>
      <c r="G945" s="1" t="str">
        <f>"Week_"&amp;F945</f>
        <v>Week_135</v>
      </c>
    </row>
    <row r="946" spans="8:8" ht="15.1">
      <c r="A946" s="3">
        <v>44796.0</v>
      </c>
      <c r="B946" s="2">
        <v>2010490.0</v>
      </c>
      <c r="C946" s="2">
        <v>29319.0</v>
      </c>
      <c r="D946" s="2">
        <f>_xlfn.IFERROR(B946-B945,0)</f>
        <v>167.0</v>
      </c>
      <c r="E946" s="2">
        <f>_xlfn.IFERROR(C946-C945,0)</f>
        <v>3.0</v>
      </c>
      <c r="F946" s="1">
        <f>INT((A946-DATE(2020,1,22))/7)+1</f>
        <v>135.0</v>
      </c>
      <c r="G946" s="1" t="str">
        <f>"Week_"&amp;F946</f>
        <v>Week_135</v>
      </c>
    </row>
    <row r="947" spans="8:8" ht="15.1">
      <c r="A947" s="3">
        <v>44797.0</v>
      </c>
      <c r="B947" s="2">
        <v>2010748.0</v>
      </c>
      <c r="C947" s="2">
        <v>29320.0</v>
      </c>
      <c r="D947" s="2">
        <f>_xlfn.IFERROR(B947-B946,0)</f>
        <v>258.0</v>
      </c>
      <c r="E947" s="2">
        <f>_xlfn.IFERROR(C947-C946,0)</f>
        <v>1.0</v>
      </c>
      <c r="F947" s="1">
        <f>INT((A947-DATE(2020,1,22))/7)+1</f>
        <v>136.0</v>
      </c>
      <c r="G947" s="1" t="str">
        <f>"Week_"&amp;F947</f>
        <v>Week_136</v>
      </c>
    </row>
    <row r="948" spans="8:8" ht="15.1">
      <c r="A948" s="3">
        <v>44798.0</v>
      </c>
      <c r="B948" s="2">
        <v>2010944.0</v>
      </c>
      <c r="C948" s="2">
        <v>29321.0</v>
      </c>
      <c r="D948" s="2">
        <f>_xlfn.IFERROR(B948-B947,0)</f>
        <v>196.0</v>
      </c>
      <c r="E948" s="2">
        <f>_xlfn.IFERROR(C948-C947,0)</f>
        <v>1.0</v>
      </c>
      <c r="F948" s="1">
        <f>INT((A948-DATE(2020,1,22))/7)+1</f>
        <v>136.0</v>
      </c>
      <c r="G948" s="1" t="str">
        <f>"Week_"&amp;F948</f>
        <v>Week_136</v>
      </c>
    </row>
    <row r="949" spans="8:8" ht="15.1">
      <c r="A949" s="3">
        <v>44799.0</v>
      </c>
      <c r="B949" s="2">
        <v>2011100.0</v>
      </c>
      <c r="C949" s="2">
        <v>29323.0</v>
      </c>
      <c r="D949" s="2">
        <f>_xlfn.IFERROR(B949-B948,0)</f>
        <v>156.0</v>
      </c>
      <c r="E949" s="2">
        <f>_xlfn.IFERROR(C949-C948,0)</f>
        <v>2.0</v>
      </c>
      <c r="F949" s="1">
        <f>INT((A949-DATE(2020,1,22))/7)+1</f>
        <v>136.0</v>
      </c>
      <c r="G949" s="1" t="str">
        <f>"Week_"&amp;F949</f>
        <v>Week_136</v>
      </c>
    </row>
    <row r="950" spans="8:8" ht="15.1">
      <c r="A950" s="3">
        <v>44800.0</v>
      </c>
      <c r="B950" s="2">
        <v>2011317.0</v>
      </c>
      <c r="C950" s="2">
        <v>29323.0</v>
      </c>
      <c r="D950" s="2">
        <f>_xlfn.IFERROR(B950-B949,0)</f>
        <v>217.0</v>
      </c>
      <c r="E950" s="2">
        <f>_xlfn.IFERROR(C950-C949,0)</f>
        <v>0.0</v>
      </c>
      <c r="F950" s="1">
        <f>INT((A950-DATE(2020,1,22))/7)+1</f>
        <v>136.0</v>
      </c>
      <c r="G950" s="1" t="str">
        <f>"Week_"&amp;F950</f>
        <v>Week_136</v>
      </c>
    </row>
    <row r="951" spans="8:8" ht="15.1">
      <c r="A951" s="3">
        <v>44801.0</v>
      </c>
      <c r="B951" s="2">
        <v>2011560.0</v>
      </c>
      <c r="C951" s="2">
        <v>29323.0</v>
      </c>
      <c r="D951" s="2">
        <f>_xlfn.IFERROR(B951-B950,0)</f>
        <v>243.0</v>
      </c>
      <c r="E951" s="2">
        <f>_xlfn.IFERROR(C951-C950,0)</f>
        <v>0.0</v>
      </c>
      <c r="F951" s="1">
        <f>INT((A951-DATE(2020,1,22))/7)+1</f>
        <v>136.0</v>
      </c>
      <c r="G951" s="1" t="str">
        <f>"Week_"&amp;F951</f>
        <v>Week_136</v>
      </c>
    </row>
    <row r="952" spans="8:8" ht="15.1">
      <c r="A952" s="3">
        <v>44802.0</v>
      </c>
      <c r="B952" s="2">
        <v>2011732.0</v>
      </c>
      <c r="C952" s="2">
        <v>29323.0</v>
      </c>
      <c r="D952" s="2">
        <f>_xlfn.IFERROR(B952-B951,0)</f>
        <v>172.0</v>
      </c>
      <c r="E952" s="2">
        <f>_xlfn.IFERROR(C952-C951,0)</f>
        <v>0.0</v>
      </c>
      <c r="F952" s="1">
        <f>INT((A952-DATE(2020,1,22))/7)+1</f>
        <v>136.0</v>
      </c>
      <c r="G952" s="1" t="str">
        <f>"Week_"&amp;F952</f>
        <v>Week_136</v>
      </c>
    </row>
    <row r="953" spans="8:8" ht="15.1">
      <c r="A953" s="3">
        <v>44803.0</v>
      </c>
      <c r="B953" s="2">
        <v>2011946.0</v>
      </c>
      <c r="C953" s="2">
        <v>29323.0</v>
      </c>
      <c r="D953" s="2">
        <f>_xlfn.IFERROR(B953-B952,0)</f>
        <v>214.0</v>
      </c>
      <c r="E953" s="2">
        <f>_xlfn.IFERROR(C953-C952,0)</f>
        <v>0.0</v>
      </c>
      <c r="F953" s="1">
        <f>INT((A953-DATE(2020,1,22))/7)+1</f>
        <v>136.0</v>
      </c>
      <c r="G953" s="1" t="str">
        <f>"Week_"&amp;F953</f>
        <v>Week_136</v>
      </c>
    </row>
    <row r="954" spans="8:8" ht="15.1">
      <c r="A954" s="3">
        <v>44804.0</v>
      </c>
      <c r="B954" s="2">
        <v>2012162.0</v>
      </c>
      <c r="C954" s="2">
        <v>29325.0</v>
      </c>
      <c r="D954" s="2">
        <f>_xlfn.IFERROR(B954-B953,0)</f>
        <v>216.0</v>
      </c>
      <c r="E954" s="2">
        <f>_xlfn.IFERROR(C954-C953,0)</f>
        <v>2.0</v>
      </c>
      <c r="F954" s="1">
        <f>INT((A954-DATE(2020,1,22))/7)+1</f>
        <v>137.0</v>
      </c>
      <c r="G954" s="1" t="str">
        <f>"Week_"&amp;F954</f>
        <v>Week_137</v>
      </c>
    </row>
    <row r="955" spans="8:8" ht="15.1">
      <c r="A955" s="3">
        <v>44805.0</v>
      </c>
      <c r="B955" s="2">
        <v>2012376.0</v>
      </c>
      <c r="C955" s="2">
        <v>29326.0</v>
      </c>
      <c r="D955" s="2">
        <f>_xlfn.IFERROR(B955-B954,0)</f>
        <v>214.0</v>
      </c>
      <c r="E955" s="2">
        <f>_xlfn.IFERROR(C955-C954,0)</f>
        <v>1.0</v>
      </c>
      <c r="F955" s="1">
        <f>INT((A955-DATE(2020,1,22))/7)+1</f>
        <v>137.0</v>
      </c>
      <c r="G955" s="1" t="str">
        <f>"Week_"&amp;F955</f>
        <v>Week_137</v>
      </c>
    </row>
    <row r="956" spans="8:8" ht="15.1">
      <c r="A956" s="3">
        <v>44806.0</v>
      </c>
      <c r="B956" s="2">
        <v>2012531.0</v>
      </c>
      <c r="C956" s="2">
        <v>29327.0</v>
      </c>
      <c r="D956" s="2">
        <f>_xlfn.IFERROR(B956-B955,0)</f>
        <v>155.0</v>
      </c>
      <c r="E956" s="2">
        <f>_xlfn.IFERROR(C956-C955,0)</f>
        <v>1.0</v>
      </c>
      <c r="F956" s="1">
        <f>INT((A956-DATE(2020,1,22))/7)+1</f>
        <v>137.0</v>
      </c>
      <c r="G956" s="1" t="str">
        <f>"Week_"&amp;F956</f>
        <v>Week_137</v>
      </c>
    </row>
    <row r="957" spans="8:8" ht="15.1">
      <c r="A957" s="3">
        <v>44807.0</v>
      </c>
      <c r="B957" s="2">
        <v>2012761.0</v>
      </c>
      <c r="C957" s="2">
        <v>29328.0</v>
      </c>
      <c r="D957" s="2">
        <f>_xlfn.IFERROR(B957-B956,0)</f>
        <v>230.0</v>
      </c>
      <c r="E957" s="2">
        <f>_xlfn.IFERROR(C957-C956,0)</f>
        <v>1.0</v>
      </c>
      <c r="F957" s="1">
        <f>INT((A957-DATE(2020,1,22))/7)+1</f>
        <v>137.0</v>
      </c>
      <c r="G957" s="1" t="str">
        <f>"Week_"&amp;F957</f>
        <v>Week_137</v>
      </c>
    </row>
    <row r="958" spans="8:8" ht="15.1">
      <c r="A958" s="3">
        <v>44808.0</v>
      </c>
      <c r="B958" s="2">
        <v>2013094.0</v>
      </c>
      <c r="C958" s="2">
        <v>29328.0</v>
      </c>
      <c r="D958" s="2">
        <f>_xlfn.IFERROR(B958-B957,0)</f>
        <v>333.0</v>
      </c>
      <c r="E958" s="2">
        <f>_xlfn.IFERROR(C958-C957,0)</f>
        <v>0.0</v>
      </c>
      <c r="F958" s="1">
        <f>INT((A958-DATE(2020,1,22))/7)+1</f>
        <v>137.0</v>
      </c>
      <c r="G958" s="1" t="str">
        <f>"Week_"&amp;F958</f>
        <v>Week_137</v>
      </c>
    </row>
    <row r="959" spans="8:8" ht="15.1">
      <c r="A959" s="3">
        <v>44809.0</v>
      </c>
      <c r="B959" s="2">
        <v>2013407.0</v>
      </c>
      <c r="C959" s="2">
        <v>29329.0</v>
      </c>
      <c r="D959" s="2">
        <f>_xlfn.IFERROR(B959-B958,0)</f>
        <v>313.0</v>
      </c>
      <c r="E959" s="2">
        <f>_xlfn.IFERROR(C959-C958,0)</f>
        <v>1.0</v>
      </c>
      <c r="F959" s="1">
        <f>INT((A959-DATE(2020,1,22))/7)+1</f>
        <v>137.0</v>
      </c>
      <c r="G959" s="1" t="str">
        <f>"Week_"&amp;F959</f>
        <v>Week_137</v>
      </c>
    </row>
    <row r="960" spans="8:8" ht="15.1">
      <c r="A960" s="3">
        <v>44810.0</v>
      </c>
      <c r="B960" s="2">
        <v>2013689.0</v>
      </c>
      <c r="C960" s="2">
        <v>29329.0</v>
      </c>
      <c r="D960" s="2">
        <f>_xlfn.IFERROR(B960-B959,0)</f>
        <v>282.0</v>
      </c>
      <c r="E960" s="2">
        <f>_xlfn.IFERROR(C960-C959,0)</f>
        <v>0.0</v>
      </c>
      <c r="F960" s="1">
        <f>INT((A960-DATE(2020,1,22))/7)+1</f>
        <v>137.0</v>
      </c>
      <c r="G960" s="1" t="str">
        <f>"Week_"&amp;F960</f>
        <v>Week_137</v>
      </c>
    </row>
    <row r="961" spans="8:8" ht="15.1">
      <c r="A961" s="3">
        <v>44811.0</v>
      </c>
      <c r="B961" s="2">
        <v>2014077.0</v>
      </c>
      <c r="C961" s="2">
        <v>29330.0</v>
      </c>
      <c r="D961" s="2">
        <f>_xlfn.IFERROR(B961-B960,0)</f>
        <v>388.0</v>
      </c>
      <c r="E961" s="2">
        <f>_xlfn.IFERROR(C961-C960,0)</f>
        <v>1.0</v>
      </c>
      <c r="F961" s="1">
        <f>INT((A961-DATE(2020,1,22))/7)+1</f>
        <v>138.0</v>
      </c>
      <c r="G961" s="1" t="str">
        <f>"Week_"&amp;F961</f>
        <v>Week_138</v>
      </c>
    </row>
    <row r="962" spans="8:8" ht="15.1">
      <c r="A962" s="3">
        <v>44812.0</v>
      </c>
      <c r="B962" s="2">
        <v>2014355.0</v>
      </c>
      <c r="C962" s="2">
        <v>29331.0</v>
      </c>
      <c r="D962" s="2">
        <f>_xlfn.IFERROR(B962-B961,0)</f>
        <v>278.0</v>
      </c>
      <c r="E962" s="2">
        <f>_xlfn.IFERROR(C962-C961,0)</f>
        <v>1.0</v>
      </c>
      <c r="F962" s="1">
        <f>INT((A962-DATE(2020,1,22))/7)+1</f>
        <v>138.0</v>
      </c>
      <c r="G962" s="1" t="str">
        <f>"Week_"&amp;F962</f>
        <v>Week_138</v>
      </c>
    </row>
    <row r="963" spans="8:8" ht="15.1">
      <c r="A963" s="3">
        <v>44813.0</v>
      </c>
      <c r="B963" s="2">
        <v>2014577.0</v>
      </c>
      <c r="C963" s="2">
        <v>29332.0</v>
      </c>
      <c r="D963" s="2">
        <f>_xlfn.IFERROR(B963-B962,0)</f>
        <v>222.0</v>
      </c>
      <c r="E963" s="2">
        <f>_xlfn.IFERROR(C963-C962,0)</f>
        <v>1.0</v>
      </c>
      <c r="F963" s="1">
        <f>INT((A963-DATE(2020,1,22))/7)+1</f>
        <v>138.0</v>
      </c>
      <c r="G963" s="1" t="str">
        <f>"Week_"&amp;F963</f>
        <v>Week_138</v>
      </c>
    </row>
    <row r="964" spans="8:8" ht="15.1">
      <c r="A964" s="3">
        <v>44814.0</v>
      </c>
      <c r="B964" s="2">
        <v>2014887.0</v>
      </c>
      <c r="C964" s="2">
        <v>29334.0</v>
      </c>
      <c r="D964" s="2">
        <f>_xlfn.IFERROR(B964-B963,0)</f>
        <v>310.0</v>
      </c>
      <c r="E964" s="2">
        <f>_xlfn.IFERROR(C964-C963,0)</f>
        <v>2.0</v>
      </c>
      <c r="F964" s="1">
        <f>INT((A964-DATE(2020,1,22))/7)+1</f>
        <v>138.0</v>
      </c>
      <c r="G964" s="1" t="str">
        <f>"Week_"&amp;F964</f>
        <v>Week_138</v>
      </c>
    </row>
    <row r="965" spans="8:8" ht="15.1">
      <c r="A965" s="3">
        <v>44815.0</v>
      </c>
      <c r="B965" s="2">
        <v>2015308.0</v>
      </c>
      <c r="C965" s="2">
        <v>29334.0</v>
      </c>
      <c r="D965" s="2">
        <f>_xlfn.IFERROR(B965-B964,0)</f>
        <v>421.0</v>
      </c>
      <c r="E965" s="2">
        <f>_xlfn.IFERROR(C965-C964,0)</f>
        <v>0.0</v>
      </c>
      <c r="F965" s="1">
        <f>INT((A965-DATE(2020,1,22))/7)+1</f>
        <v>138.0</v>
      </c>
      <c r="G965" s="1" t="str">
        <f>"Week_"&amp;F965</f>
        <v>Week_138</v>
      </c>
    </row>
    <row r="966" spans="8:8" ht="15.1">
      <c r="A966" s="3">
        <v>44816.0</v>
      </c>
      <c r="B966" s="2">
        <v>2015743.0</v>
      </c>
      <c r="C966" s="2">
        <v>29335.0</v>
      </c>
      <c r="D966" s="2">
        <f>_xlfn.IFERROR(B966-B965,0)</f>
        <v>435.0</v>
      </c>
      <c r="E966" s="2">
        <f>_xlfn.IFERROR(C966-C965,0)</f>
        <v>1.0</v>
      </c>
      <c r="F966" s="1">
        <f>INT((A966-DATE(2020,1,22))/7)+1</f>
        <v>138.0</v>
      </c>
      <c r="G966" s="1" t="str">
        <f>"Week_"&amp;F966</f>
        <v>Week_138</v>
      </c>
    </row>
    <row r="967" spans="8:8" ht="15.1">
      <c r="A967" s="3">
        <v>44817.0</v>
      </c>
      <c r="B967" s="2">
        <v>2016145.0</v>
      </c>
      <c r="C967" s="2">
        <v>29336.0</v>
      </c>
      <c r="D967" s="2">
        <f>_xlfn.IFERROR(B967-B966,0)</f>
        <v>402.0</v>
      </c>
      <c r="E967" s="2">
        <f>_xlfn.IFERROR(C967-C966,0)</f>
        <v>1.0</v>
      </c>
      <c r="F967" s="1">
        <f>INT((A967-DATE(2020,1,22))/7)+1</f>
        <v>138.0</v>
      </c>
      <c r="G967" s="1" t="str">
        <f>"Week_"&amp;F967</f>
        <v>Week_138</v>
      </c>
    </row>
    <row r="968" spans="8:8" ht="15.1">
      <c r="A968" s="3">
        <v>44818.0</v>
      </c>
      <c r="B968" s="2">
        <v>2016583.0</v>
      </c>
      <c r="C968" s="2">
        <v>29337.0</v>
      </c>
      <c r="D968" s="2">
        <f>_xlfn.IFERROR(B968-B967,0)</f>
        <v>438.0</v>
      </c>
      <c r="E968" s="2">
        <f>_xlfn.IFERROR(C968-C967,0)</f>
        <v>1.0</v>
      </c>
      <c r="F968" s="1">
        <f>INT((A968-DATE(2020,1,22))/7)+1</f>
        <v>139.0</v>
      </c>
      <c r="G968" s="1" t="str">
        <f>"Week_"&amp;F968</f>
        <v>Week_139</v>
      </c>
    </row>
    <row r="969" spans="8:8" ht="15.1">
      <c r="A969" s="3">
        <v>44819.0</v>
      </c>
      <c r="B969" s="2">
        <v>2016946.0</v>
      </c>
      <c r="C969" s="2">
        <v>29339.0</v>
      </c>
      <c r="D969" s="2">
        <f>_xlfn.IFERROR(B969-B968,0)</f>
        <v>363.0</v>
      </c>
      <c r="E969" s="2">
        <f>_xlfn.IFERROR(C969-C968,0)</f>
        <v>2.0</v>
      </c>
      <c r="F969" s="1">
        <f>INT((A969-DATE(2020,1,22))/7)+1</f>
        <v>139.0</v>
      </c>
      <c r="G969" s="1" t="str">
        <f>"Week_"&amp;F969</f>
        <v>Week_139</v>
      </c>
    </row>
    <row r="970" spans="8:8" ht="15.1">
      <c r="A970" s="3">
        <v>44820.0</v>
      </c>
      <c r="B970" s="2">
        <v>2017087.0</v>
      </c>
      <c r="C970" s="2">
        <v>29339.0</v>
      </c>
      <c r="D970" s="2">
        <f>_xlfn.IFERROR(B970-B969,0)</f>
        <v>141.0</v>
      </c>
      <c r="E970" s="2">
        <f>_xlfn.IFERROR(C970-C969,0)</f>
        <v>0.0</v>
      </c>
      <c r="F970" s="1">
        <f>INT((A970-DATE(2020,1,22))/7)+1</f>
        <v>139.0</v>
      </c>
      <c r="G970" s="1" t="str">
        <f>"Week_"&amp;F970</f>
        <v>Week_139</v>
      </c>
    </row>
    <row r="971" spans="8:8" ht="15.1">
      <c r="A971" s="3">
        <v>44821.0</v>
      </c>
      <c r="B971" s="2">
        <v>2017614.0</v>
      </c>
      <c r="C971" s="2">
        <v>29339.0</v>
      </c>
      <c r="D971" s="2">
        <f>_xlfn.IFERROR(B971-B970,0)</f>
        <v>527.0</v>
      </c>
      <c r="E971" s="2">
        <f>_xlfn.IFERROR(C971-C970,0)</f>
        <v>0.0</v>
      </c>
      <c r="F971" s="1">
        <f>INT((A971-DATE(2020,1,22))/7)+1</f>
        <v>139.0</v>
      </c>
      <c r="G971" s="1" t="str">
        <f>"Week_"&amp;F971</f>
        <v>Week_139</v>
      </c>
    </row>
    <row r="972" spans="8:8" ht="15.1">
      <c r="A972" s="3">
        <v>44822.0</v>
      </c>
      <c r="B972" s="2">
        <v>2018215.0</v>
      </c>
      <c r="C972" s="2">
        <v>29340.0</v>
      </c>
      <c r="D972" s="2">
        <f>_xlfn.IFERROR(B972-B971,0)</f>
        <v>601.0</v>
      </c>
      <c r="E972" s="2">
        <f>_xlfn.IFERROR(C972-C971,0)</f>
        <v>1.0</v>
      </c>
      <c r="F972" s="1">
        <f>INT((A972-DATE(2020,1,22))/7)+1</f>
        <v>139.0</v>
      </c>
      <c r="G972" s="1" t="str">
        <f>"Week_"&amp;F972</f>
        <v>Week_139</v>
      </c>
    </row>
    <row r="973" spans="8:8" ht="15.1">
      <c r="A973" s="3">
        <v>44823.0</v>
      </c>
      <c r="B973" s="2">
        <v>2018829.0</v>
      </c>
      <c r="C973" s="2">
        <v>29345.0</v>
      </c>
      <c r="D973" s="2">
        <f>_xlfn.IFERROR(B973-B972,0)</f>
        <v>614.0</v>
      </c>
      <c r="E973" s="2">
        <f>_xlfn.IFERROR(C973-C972,0)</f>
        <v>5.0</v>
      </c>
      <c r="F973" s="1">
        <f>INT((A973-DATE(2020,1,22))/7)+1</f>
        <v>139.0</v>
      </c>
      <c r="G973" s="1" t="str">
        <f>"Week_"&amp;F973</f>
        <v>Week_139</v>
      </c>
    </row>
    <row r="974" spans="8:8" ht="15.1">
      <c r="A974" s="3">
        <v>44824.0</v>
      </c>
      <c r="B974" s="2">
        <v>2019470.0</v>
      </c>
      <c r="C974" s="2">
        <v>29345.0</v>
      </c>
      <c r="D974" s="2">
        <f>_xlfn.IFERROR(B974-B973,0)</f>
        <v>641.0</v>
      </c>
      <c r="E974" s="2">
        <f>_xlfn.IFERROR(C974-C973,0)</f>
        <v>0.0</v>
      </c>
      <c r="F974" s="1">
        <f>INT((A974-DATE(2020,1,22))/7)+1</f>
        <v>139.0</v>
      </c>
      <c r="G974" s="1" t="str">
        <f>"Week_"&amp;F974</f>
        <v>Week_139</v>
      </c>
    </row>
    <row r="975" spans="8:8" ht="15.1">
      <c r="A975" s="3">
        <v>44825.0</v>
      </c>
      <c r="B975" s="2">
        <v>2020148.0</v>
      </c>
      <c r="C975" s="2">
        <v>29346.0</v>
      </c>
      <c r="D975" s="2">
        <f>_xlfn.IFERROR(B975-B974,0)</f>
        <v>678.0</v>
      </c>
      <c r="E975" s="2">
        <f>_xlfn.IFERROR(C975-C974,0)</f>
        <v>1.0</v>
      </c>
      <c r="F975" s="1">
        <f>INT((A975-DATE(2020,1,22))/7)+1</f>
        <v>140.0</v>
      </c>
      <c r="G975" s="1" t="str">
        <f>"Week_"&amp;F975</f>
        <v>Week_140</v>
      </c>
    </row>
    <row r="976" spans="8:8" ht="15.1">
      <c r="A976" s="3">
        <v>44826.0</v>
      </c>
      <c r="B976" s="2">
        <v>2020768.0</v>
      </c>
      <c r="C976" s="2">
        <v>29347.0</v>
      </c>
      <c r="D976" s="2">
        <f>_xlfn.IFERROR(B976-B975,0)</f>
        <v>620.0</v>
      </c>
      <c r="E976" s="2">
        <f>_xlfn.IFERROR(C976-C975,0)</f>
        <v>1.0</v>
      </c>
      <c r="F976" s="1">
        <f>INT((A976-DATE(2020,1,22))/7)+1</f>
        <v>140.0</v>
      </c>
      <c r="G976" s="1" t="str">
        <f>"Week_"&amp;F976</f>
        <v>Week_140</v>
      </c>
    </row>
    <row r="977" spans="8:8" ht="15.1">
      <c r="A977" s="3">
        <v>44827.0</v>
      </c>
      <c r="B977" s="2">
        <v>2021118.0</v>
      </c>
      <c r="C977" s="2">
        <v>29351.0</v>
      </c>
      <c r="D977" s="2">
        <f>_xlfn.IFERROR(B977-B976,0)</f>
        <v>350.0</v>
      </c>
      <c r="E977" s="2">
        <f>_xlfn.IFERROR(C977-C976,0)</f>
        <v>4.0</v>
      </c>
      <c r="F977" s="1">
        <f>INT((A977-DATE(2020,1,22))/7)+1</f>
        <v>140.0</v>
      </c>
      <c r="G977" s="1" t="str">
        <f>"Week_"&amp;F977</f>
        <v>Week_140</v>
      </c>
    </row>
    <row r="978" spans="8:8" ht="15.1">
      <c r="A978" s="3">
        <v>44828.0</v>
      </c>
      <c r="B978" s="2">
        <v>2021690.0</v>
      </c>
      <c r="C978" s="2">
        <v>29353.0</v>
      </c>
      <c r="D978" s="2">
        <f>_xlfn.IFERROR(B978-B977,0)</f>
        <v>572.0</v>
      </c>
      <c r="E978" s="2">
        <f>_xlfn.IFERROR(C978-C977,0)</f>
        <v>2.0</v>
      </c>
      <c r="F978" s="1">
        <f>INT((A978-DATE(2020,1,22))/7)+1</f>
        <v>140.0</v>
      </c>
      <c r="G978" s="1" t="str">
        <f>"Week_"&amp;F978</f>
        <v>Week_140</v>
      </c>
    </row>
    <row r="979" spans="8:8" ht="15.1">
      <c r="A979" s="3">
        <v>44829.0</v>
      </c>
      <c r="B979" s="2">
        <v>2022408.0</v>
      </c>
      <c r="C979" s="2">
        <v>29359.0</v>
      </c>
      <c r="D979" s="2">
        <f>_xlfn.IFERROR(B979-B978,0)</f>
        <v>718.0</v>
      </c>
      <c r="E979" s="2">
        <f>_xlfn.IFERROR(C979-C978,0)</f>
        <v>6.0</v>
      </c>
      <c r="F979" s="1">
        <f>INT((A979-DATE(2020,1,22))/7)+1</f>
        <v>140.0</v>
      </c>
      <c r="G979" s="1" t="str">
        <f>"Week_"&amp;F979</f>
        <v>Week_140</v>
      </c>
    </row>
    <row r="980" spans="8:8" ht="15.1">
      <c r="A980" s="3">
        <v>44830.0</v>
      </c>
      <c r="B980" s="2">
        <v>2023145.0</v>
      </c>
      <c r="C980" s="2">
        <v>29360.0</v>
      </c>
      <c r="D980" s="2">
        <f>_xlfn.IFERROR(B980-B979,0)</f>
        <v>737.0</v>
      </c>
      <c r="E980" s="2">
        <f>_xlfn.IFERROR(C980-C979,0)</f>
        <v>1.0</v>
      </c>
      <c r="F980" s="1">
        <f>INT((A980-DATE(2020,1,22))/7)+1</f>
        <v>140.0</v>
      </c>
      <c r="G980" s="1" t="str">
        <f>"Week_"&amp;F980</f>
        <v>Week_140</v>
      </c>
    </row>
    <row r="981" spans="8:8" ht="15.1">
      <c r="A981" s="3">
        <v>44831.0</v>
      </c>
      <c r="B981" s="2">
        <v>2023810.0</v>
      </c>
      <c r="C981" s="2">
        <v>29360.0</v>
      </c>
      <c r="D981" s="2">
        <f>_xlfn.IFERROR(B981-B980,0)</f>
        <v>665.0</v>
      </c>
      <c r="E981" s="2">
        <f>_xlfn.IFERROR(C981-C980,0)</f>
        <v>0.0</v>
      </c>
      <c r="F981" s="1">
        <f>INT((A981-DATE(2020,1,22))/7)+1</f>
        <v>140.0</v>
      </c>
      <c r="G981" s="1" t="str">
        <f>"Week_"&amp;F981</f>
        <v>Week_140</v>
      </c>
    </row>
    <row r="982" spans="8:8" ht="15.1">
      <c r="A982" s="3">
        <v>44832.0</v>
      </c>
      <c r="B982" s="2">
        <v>2024489.0</v>
      </c>
      <c r="C982" s="2">
        <v>29362.0</v>
      </c>
      <c r="D982" s="2">
        <f>_xlfn.IFERROR(B982-B981,0)</f>
        <v>679.0</v>
      </c>
      <c r="E982" s="2">
        <f>_xlfn.IFERROR(C982-C981,0)</f>
        <v>2.0</v>
      </c>
      <c r="F982" s="1">
        <f>INT((A982-DATE(2020,1,22))/7)+1</f>
        <v>141.0</v>
      </c>
      <c r="G982" s="1" t="str">
        <f>"Week_"&amp;F982</f>
        <v>Week_141</v>
      </c>
    </row>
    <row r="983" spans="8:8" ht="15.1">
      <c r="A983" s="3">
        <v>44833.0</v>
      </c>
      <c r="B983" s="2">
        <v>2025197.0</v>
      </c>
      <c r="C983" s="2">
        <v>29363.0</v>
      </c>
      <c r="D983" s="2">
        <f>_xlfn.IFERROR(B983-B982,0)</f>
        <v>708.0</v>
      </c>
      <c r="E983" s="2">
        <f>_xlfn.IFERROR(C983-C982,0)</f>
        <v>1.0</v>
      </c>
      <c r="F983" s="1">
        <f>INT((A983-DATE(2020,1,22))/7)+1</f>
        <v>141.0</v>
      </c>
      <c r="G983" s="1" t="str">
        <f>"Week_"&amp;F983</f>
        <v>Week_141</v>
      </c>
    </row>
    <row r="984" spans="8:8" ht="15.1">
      <c r="A984" s="3">
        <v>44834.0</v>
      </c>
      <c r="B984" s="2">
        <v>2025677.0</v>
      </c>
      <c r="C984" s="2">
        <v>29368.0</v>
      </c>
      <c r="D984" s="2">
        <f>_xlfn.IFERROR(B984-B983,0)</f>
        <v>480.0</v>
      </c>
      <c r="E984" s="2">
        <f>_xlfn.IFERROR(C984-C983,0)</f>
        <v>5.0</v>
      </c>
      <c r="F984" s="1">
        <f>INT((A984-DATE(2020,1,22))/7)+1</f>
        <v>141.0</v>
      </c>
      <c r="G984" s="1" t="str">
        <f>"Week_"&amp;F984</f>
        <v>Week_141</v>
      </c>
    </row>
    <row r="985" spans="8:8" ht="15.1">
      <c r="A985" s="3">
        <v>44835.0</v>
      </c>
      <c r="B985" s="2">
        <v>2026212.0</v>
      </c>
      <c r="C985" s="2">
        <v>29369.0</v>
      </c>
      <c r="D985" s="2">
        <f>_xlfn.IFERROR(B985-B984,0)</f>
        <v>535.0</v>
      </c>
      <c r="E985" s="2">
        <f>_xlfn.IFERROR(C985-C984,0)</f>
        <v>1.0</v>
      </c>
      <c r="F985" s="1">
        <f>INT((A985-DATE(2020,1,22))/7)+1</f>
        <v>141.0</v>
      </c>
      <c r="G985" s="1" t="str">
        <f>"Week_"&amp;F985</f>
        <v>Week_141</v>
      </c>
    </row>
    <row r="986" spans="8:8" ht="15.1">
      <c r="A986" s="3">
        <v>44836.0</v>
      </c>
      <c r="B986" s="2">
        <v>2026908.0</v>
      </c>
      <c r="C986" s="2">
        <v>29371.0</v>
      </c>
      <c r="D986" s="2">
        <f>_xlfn.IFERROR(B986-B985,0)</f>
        <v>696.0</v>
      </c>
      <c r="E986" s="2">
        <f>_xlfn.IFERROR(C986-C985,0)</f>
        <v>2.0</v>
      </c>
      <c r="F986" s="1">
        <f>INT((A986-DATE(2020,1,22))/7)+1</f>
        <v>141.0</v>
      </c>
      <c r="G986" s="1" t="str">
        <f>"Week_"&amp;F986</f>
        <v>Week_141</v>
      </c>
    </row>
    <row r="987" spans="8:8" ht="15.1">
      <c r="A987" s="3">
        <v>44837.0</v>
      </c>
      <c r="B987" s="2">
        <v>2027565.0</v>
      </c>
      <c r="C987" s="2">
        <v>29372.0</v>
      </c>
      <c r="D987" s="2">
        <f>_xlfn.IFERROR(B987-B986,0)</f>
        <v>657.0</v>
      </c>
      <c r="E987" s="2">
        <f>_xlfn.IFERROR(C987-C986,0)</f>
        <v>1.0</v>
      </c>
      <c r="F987" s="1">
        <f>INT((A987-DATE(2020,1,22))/7)+1</f>
        <v>141.0</v>
      </c>
      <c r="G987" s="1" t="str">
        <f>"Week_"&amp;F987</f>
        <v>Week_141</v>
      </c>
    </row>
    <row r="988" spans="8:8" ht="15.1">
      <c r="A988" s="3">
        <v>44838.0</v>
      </c>
      <c r="B988" s="2">
        <v>2028114.0</v>
      </c>
      <c r="C988" s="2">
        <v>29374.0</v>
      </c>
      <c r="D988" s="2">
        <f>_xlfn.IFERROR(B988-B987,0)</f>
        <v>549.0</v>
      </c>
      <c r="E988" s="2">
        <f>_xlfn.IFERROR(C988-C987,0)</f>
        <v>2.0</v>
      </c>
      <c r="F988" s="1">
        <f>INT((A988-DATE(2020,1,22))/7)+1</f>
        <v>141.0</v>
      </c>
      <c r="G988" s="1" t="str">
        <f>"Week_"&amp;F988</f>
        <v>Week_141</v>
      </c>
    </row>
    <row r="989" spans="8:8" ht="15.1">
      <c r="A989" s="3">
        <v>44839.0</v>
      </c>
      <c r="B989" s="2">
        <v>2028524.0</v>
      </c>
      <c r="C989" s="2">
        <v>29375.0</v>
      </c>
      <c r="D989" s="2">
        <f>_xlfn.IFERROR(B989-B988,0)</f>
        <v>410.0</v>
      </c>
      <c r="E989" s="2">
        <f>_xlfn.IFERROR(C989-C988,0)</f>
        <v>1.0</v>
      </c>
      <c r="F989" s="1">
        <f>INT((A989-DATE(2020,1,22))/7)+1</f>
        <v>142.0</v>
      </c>
      <c r="G989" s="1" t="str">
        <f>"Week_"&amp;F989</f>
        <v>Week_142</v>
      </c>
    </row>
    <row r="990" spans="8:8" ht="15.1">
      <c r="A990" s="3">
        <v>44840.0</v>
      </c>
      <c r="B990" s="2">
        <v>2029015.0</v>
      </c>
      <c r="C990" s="2">
        <v>29380.0</v>
      </c>
      <c r="D990" s="2">
        <f>_xlfn.IFERROR(B990-B989,0)</f>
        <v>491.0</v>
      </c>
      <c r="E990" s="2">
        <f>_xlfn.IFERROR(C990-C989,0)</f>
        <v>5.0</v>
      </c>
      <c r="F990" s="1">
        <f>INT((A990-DATE(2020,1,22))/7)+1</f>
        <v>142.0</v>
      </c>
      <c r="G990" s="1" t="str">
        <f>"Week_"&amp;F990</f>
        <v>Week_142</v>
      </c>
    </row>
    <row r="991" spans="8:8" ht="15.1">
      <c r="A991" s="3">
        <v>44841.0</v>
      </c>
      <c r="B991" s="2">
        <v>2029314.0</v>
      </c>
      <c r="C991" s="2">
        <v>29380.0</v>
      </c>
      <c r="D991" s="2">
        <f>_xlfn.IFERROR(B991-B990,0)</f>
        <v>299.0</v>
      </c>
      <c r="E991" s="2">
        <f>_xlfn.IFERROR(C991-C990,0)</f>
        <v>0.0</v>
      </c>
      <c r="F991" s="1">
        <f>INT((A991-DATE(2020,1,22))/7)+1</f>
        <v>142.0</v>
      </c>
      <c r="G991" s="1" t="str">
        <f>"Week_"&amp;F991</f>
        <v>Week_142</v>
      </c>
    </row>
    <row r="992" spans="8:8" ht="15.1">
      <c r="A992" s="3">
        <v>44842.0</v>
      </c>
      <c r="B992" s="2">
        <v>2029723.0</v>
      </c>
      <c r="C992" s="2">
        <v>29381.0</v>
      </c>
      <c r="D992" s="2">
        <f>_xlfn.IFERROR(B992-B991,0)</f>
        <v>409.0</v>
      </c>
      <c r="E992" s="2">
        <f>_xlfn.IFERROR(C992-C991,0)</f>
        <v>1.0</v>
      </c>
      <c r="F992" s="1">
        <f>INT((A992-DATE(2020,1,22))/7)+1</f>
        <v>142.0</v>
      </c>
      <c r="G992" s="1" t="str">
        <f>"Week_"&amp;F992</f>
        <v>Week_142</v>
      </c>
    </row>
    <row r="993" spans="8:8" ht="15.1">
      <c r="A993" s="3">
        <v>44843.0</v>
      </c>
      <c r="B993" s="2">
        <v>2030090.0</v>
      </c>
      <c r="C993" s="2">
        <v>29384.0</v>
      </c>
      <c r="D993" s="2">
        <f>_xlfn.IFERROR(B993-B992,0)</f>
        <v>367.0</v>
      </c>
      <c r="E993" s="2">
        <f>_xlfn.IFERROR(C993-C992,0)</f>
        <v>3.0</v>
      </c>
      <c r="F993" s="1">
        <f>INT((A993-DATE(2020,1,22))/7)+1</f>
        <v>142.0</v>
      </c>
      <c r="G993" s="1" t="str">
        <f>"Week_"&amp;F993</f>
        <v>Week_142</v>
      </c>
    </row>
    <row r="994" spans="8:8" ht="15.1">
      <c r="A994" s="3">
        <v>44844.0</v>
      </c>
      <c r="B994" s="2">
        <v>2030550.0</v>
      </c>
      <c r="C994" s="2">
        <v>29386.0</v>
      </c>
      <c r="D994" s="2">
        <f>_xlfn.IFERROR(B994-B993,0)</f>
        <v>460.0</v>
      </c>
      <c r="E994" s="2">
        <f>_xlfn.IFERROR(C994-C993,0)</f>
        <v>2.0</v>
      </c>
      <c r="F994" s="1">
        <f>INT((A994-DATE(2020,1,22))/7)+1</f>
        <v>142.0</v>
      </c>
      <c r="G994" s="1" t="str">
        <f>"Week_"&amp;F994</f>
        <v>Week_142</v>
      </c>
    </row>
    <row r="995" spans="8:8" ht="15.1">
      <c r="A995" s="3">
        <v>44845.0</v>
      </c>
      <c r="B995" s="2">
        <v>2031006.0</v>
      </c>
      <c r="C995" s="2">
        <v>29388.0</v>
      </c>
      <c r="D995" s="2">
        <f>_xlfn.IFERROR(B995-B994,0)</f>
        <v>456.0</v>
      </c>
      <c r="E995" s="2">
        <f>_xlfn.IFERROR(C995-C994,0)</f>
        <v>2.0</v>
      </c>
      <c r="F995" s="1">
        <f>INT((A995-DATE(2020,1,22))/7)+1</f>
        <v>142.0</v>
      </c>
      <c r="G995" s="1" t="str">
        <f>"Week_"&amp;F995</f>
        <v>Week_142</v>
      </c>
    </row>
    <row r="996" spans="8:8" ht="15.1">
      <c r="A996" s="3">
        <v>44846.0</v>
      </c>
      <c r="B996" s="2">
        <v>2031451.0</v>
      </c>
      <c r="C996" s="2">
        <v>29389.0</v>
      </c>
      <c r="D996" s="2">
        <f>_xlfn.IFERROR(B996-B995,0)</f>
        <v>445.0</v>
      </c>
      <c r="E996" s="2">
        <f>_xlfn.IFERROR(C996-C995,0)</f>
        <v>1.0</v>
      </c>
      <c r="F996" s="1">
        <f>INT((A996-DATE(2020,1,22))/7)+1</f>
        <v>143.0</v>
      </c>
      <c r="G996" s="1" t="str">
        <f>"Week_"&amp;F996</f>
        <v>Week_143</v>
      </c>
    </row>
    <row r="997" spans="8:8" ht="15.1">
      <c r="A997" s="3">
        <v>44847.0</v>
      </c>
      <c r="B997" s="2">
        <v>2031797.0</v>
      </c>
      <c r="C997" s="2">
        <v>29393.0</v>
      </c>
      <c r="D997" s="2">
        <f>_xlfn.IFERROR(B997-B996,0)</f>
        <v>346.0</v>
      </c>
      <c r="E997" s="2">
        <f>_xlfn.IFERROR(C997-C996,0)</f>
        <v>4.0</v>
      </c>
      <c r="F997" s="1">
        <f>INT((A997-DATE(2020,1,22))/7)+1</f>
        <v>143.0</v>
      </c>
      <c r="G997" s="1" t="str">
        <f>"Week_"&amp;F997</f>
        <v>Week_143</v>
      </c>
    </row>
    <row r="998" spans="8:8" ht="15.1">
      <c r="A998" s="3">
        <v>44848.0</v>
      </c>
      <c r="B998" s="2">
        <v>2032092.0</v>
      </c>
      <c r="C998" s="2">
        <v>29395.0</v>
      </c>
      <c r="D998" s="2">
        <f>_xlfn.IFERROR(B998-B997,0)</f>
        <v>295.0</v>
      </c>
      <c r="E998" s="2">
        <f>_xlfn.IFERROR(C998-C997,0)</f>
        <v>2.0</v>
      </c>
      <c r="F998" s="1">
        <f>INT((A998-DATE(2020,1,22))/7)+1</f>
        <v>143.0</v>
      </c>
      <c r="G998" s="1" t="str">
        <f>"Week_"&amp;F998</f>
        <v>Week_143</v>
      </c>
    </row>
    <row r="999" spans="8:8" ht="15.1">
      <c r="A999" s="3">
        <v>44849.0</v>
      </c>
      <c r="B999" s="2">
        <v>2032443.0</v>
      </c>
      <c r="C999" s="2">
        <v>29401.0</v>
      </c>
      <c r="D999" s="2">
        <f>_xlfn.IFERROR(B999-B998,0)</f>
        <v>351.0</v>
      </c>
      <c r="E999" s="2">
        <f>_xlfn.IFERROR(C999-C998,0)</f>
        <v>6.0</v>
      </c>
      <c r="F999" s="1">
        <f>INT((A999-DATE(2020,1,22))/7)+1</f>
        <v>143.0</v>
      </c>
      <c r="G999" s="1" t="str">
        <f>"Week_"&amp;F999</f>
        <v>Week_143</v>
      </c>
    </row>
    <row r="1000" spans="8:8" ht="15.1">
      <c r="A1000" s="3">
        <v>44850.0</v>
      </c>
      <c r="B1000" s="2">
        <v>2032832.0</v>
      </c>
      <c r="C1000" s="2">
        <v>29402.0</v>
      </c>
      <c r="D1000" s="2">
        <f>_xlfn.IFERROR(B1000-B999,0)</f>
        <v>389.0</v>
      </c>
      <c r="E1000" s="2">
        <f>_xlfn.IFERROR(C1000-C999,0)</f>
        <v>1.0</v>
      </c>
      <c r="F1000" s="1">
        <f>INT((A1000-DATE(2020,1,22))/7)+1</f>
        <v>143.0</v>
      </c>
      <c r="G1000" s="1" t="str">
        <f>"Week_"&amp;F1000</f>
        <v>Week_143</v>
      </c>
    </row>
    <row r="1001" spans="8:8" ht="15.1">
      <c r="A1001" s="3">
        <v>44851.0</v>
      </c>
      <c r="B1001" s="2">
        <v>2033119.0</v>
      </c>
      <c r="C1001" s="2">
        <v>29408.0</v>
      </c>
      <c r="D1001" s="2">
        <f>_xlfn.IFERROR(B1001-B1000,0)</f>
        <v>287.0</v>
      </c>
      <c r="E1001" s="2">
        <f>_xlfn.IFERROR(C1001-C1000,0)</f>
        <v>6.0</v>
      </c>
      <c r="F1001" s="1">
        <f>INT((A1001-DATE(2020,1,22))/7)+1</f>
        <v>143.0</v>
      </c>
      <c r="G1001" s="1" t="str">
        <f>"Week_"&amp;F1001</f>
        <v>Week_143</v>
      </c>
    </row>
    <row r="1002" spans="8:8" ht="15.1">
      <c r="A1002" s="3">
        <v>44852.0</v>
      </c>
      <c r="B1002" s="2">
        <v>2033419.0</v>
      </c>
      <c r="C1002" s="2">
        <v>29410.0</v>
      </c>
      <c r="D1002" s="2">
        <f>_xlfn.IFERROR(B1002-B1001,0)</f>
        <v>300.0</v>
      </c>
      <c r="E1002" s="2">
        <f>_xlfn.IFERROR(C1002-C1001,0)</f>
        <v>2.0</v>
      </c>
      <c r="F1002" s="1">
        <f>INT((A1002-DATE(2020,1,22))/7)+1</f>
        <v>143.0</v>
      </c>
      <c r="G1002" s="1" t="str">
        <f>"Week_"&amp;F1002</f>
        <v>Week_143</v>
      </c>
    </row>
    <row r="1003" spans="8:8" ht="15.1">
      <c r="A1003" s="3">
        <v>44853.0</v>
      </c>
      <c r="B1003" s="2">
        <v>2033662.0</v>
      </c>
      <c r="C1003" s="2">
        <v>29411.0</v>
      </c>
      <c r="D1003" s="2">
        <f>_xlfn.IFERROR(B1003-B1002,0)</f>
        <v>243.0</v>
      </c>
      <c r="E1003" s="2">
        <f>_xlfn.IFERROR(C1003-C1002,0)</f>
        <v>1.0</v>
      </c>
      <c r="F1003" s="1">
        <f>INT((A1003-DATE(2020,1,22))/7)+1</f>
        <v>144.0</v>
      </c>
      <c r="G1003" s="1" t="str">
        <f>"Week_"&amp;F1003</f>
        <v>Week_144</v>
      </c>
    </row>
    <row r="1004" spans="8:8" ht="15.1">
      <c r="A1004" s="3">
        <v>44854.0</v>
      </c>
      <c r="B1004" s="2">
        <v>2033878.0</v>
      </c>
      <c r="C1004" s="2">
        <v>29411.0</v>
      </c>
      <c r="D1004" s="2">
        <f>_xlfn.IFERROR(B1004-B1003,0)</f>
        <v>216.0</v>
      </c>
      <c r="E1004" s="2">
        <f>_xlfn.IFERROR(C1004-C1003,0)</f>
        <v>0.0</v>
      </c>
      <c r="F1004" s="1">
        <f>INT((A1004-DATE(2020,1,22))/7)+1</f>
        <v>144.0</v>
      </c>
      <c r="G1004" s="1" t="str">
        <f>"Week_"&amp;F1004</f>
        <v>Week_144</v>
      </c>
    </row>
    <row r="1005" spans="8:8" ht="15.1">
      <c r="A1005" s="3">
        <v>44855.0</v>
      </c>
      <c r="B1005" s="2">
        <v>2034002.0</v>
      </c>
      <c r="C1005" s="2">
        <v>29412.0</v>
      </c>
      <c r="D1005" s="2">
        <f>_xlfn.IFERROR(B1005-B1004,0)</f>
        <v>124.0</v>
      </c>
      <c r="E1005" s="2">
        <f>_xlfn.IFERROR(C1005-C1004,0)</f>
        <v>1.0</v>
      </c>
      <c r="F1005" s="1">
        <f>INT((A1005-DATE(2020,1,22))/7)+1</f>
        <v>144.0</v>
      </c>
      <c r="G1005" s="1" t="str">
        <f>"Week_"&amp;F1005</f>
        <v>Week_144</v>
      </c>
    </row>
    <row r="1006" spans="8:8" ht="15.1">
      <c r="A1006" s="3">
        <v>44856.0</v>
      </c>
      <c r="B1006" s="2">
        <v>2034141.0</v>
      </c>
      <c r="C1006" s="2">
        <v>29413.0</v>
      </c>
      <c r="D1006" s="2">
        <f>_xlfn.IFERROR(B1006-B1005,0)</f>
        <v>139.0</v>
      </c>
      <c r="E1006" s="2">
        <f>_xlfn.IFERROR(C1006-C1005,0)</f>
        <v>1.0</v>
      </c>
      <c r="F1006" s="1">
        <f>INT((A1006-DATE(2020,1,22))/7)+1</f>
        <v>144.0</v>
      </c>
      <c r="G1006" s="1" t="str">
        <f>"Week_"&amp;F1006</f>
        <v>Week_144</v>
      </c>
    </row>
    <row r="1007" spans="8:8" ht="15.1">
      <c r="A1007" s="3">
        <v>44857.0</v>
      </c>
      <c r="B1007" s="2">
        <v>2034348.0</v>
      </c>
      <c r="C1007" s="2">
        <v>29415.0</v>
      </c>
      <c r="D1007" s="2">
        <f>_xlfn.IFERROR(B1007-B1006,0)</f>
        <v>207.0</v>
      </c>
      <c r="E1007" s="2">
        <f>_xlfn.IFERROR(C1007-C1006,0)</f>
        <v>2.0</v>
      </c>
      <c r="F1007" s="1">
        <f>INT((A1007-DATE(2020,1,22))/7)+1</f>
        <v>144.0</v>
      </c>
      <c r="G1007" s="1" t="str">
        <f>"Week_"&amp;F1007</f>
        <v>Week_144</v>
      </c>
    </row>
    <row r="1008" spans="8:8" ht="15.1">
      <c r="A1008" s="3">
        <v>44858.0</v>
      </c>
      <c r="B1008" s="2">
        <v>2034533.0</v>
      </c>
      <c r="C1008" s="2">
        <v>29416.0</v>
      </c>
      <c r="D1008" s="2">
        <f>_xlfn.IFERROR(B1008-B1007,0)</f>
        <v>185.0</v>
      </c>
      <c r="E1008" s="2">
        <f>_xlfn.IFERROR(C1008-C1007,0)</f>
        <v>1.0</v>
      </c>
      <c r="F1008" s="1">
        <f>INT((A1008-DATE(2020,1,22))/7)+1</f>
        <v>144.0</v>
      </c>
      <c r="G1008" s="1" t="str">
        <f>"Week_"&amp;F1008</f>
        <v>Week_144</v>
      </c>
    </row>
    <row r="1009" spans="8:8" ht="15.1">
      <c r="A1009" s="3">
        <v>44859.0</v>
      </c>
      <c r="B1009" s="2">
        <v>2034729.0</v>
      </c>
      <c r="C1009" s="2">
        <v>29416.0</v>
      </c>
      <c r="D1009" s="2">
        <f>_xlfn.IFERROR(B1009-B1008,0)</f>
        <v>196.0</v>
      </c>
      <c r="E1009" s="2">
        <f>_xlfn.IFERROR(C1009-C1008,0)</f>
        <v>0.0</v>
      </c>
      <c r="F1009" s="1">
        <f>INT((A1009-DATE(2020,1,22))/7)+1</f>
        <v>144.0</v>
      </c>
      <c r="G1009" s="1" t="str">
        <f>"Week_"&amp;F1009</f>
        <v>Week_144</v>
      </c>
    </row>
    <row r="1010" spans="8:8" ht="15.1">
      <c r="A1010" s="3">
        <v>44860.0</v>
      </c>
      <c r="B1010" s="2">
        <v>2034866.0</v>
      </c>
      <c r="C1010" s="2">
        <v>29417.0</v>
      </c>
      <c r="D1010" s="2">
        <f>_xlfn.IFERROR(B1010-B1009,0)</f>
        <v>137.0</v>
      </c>
      <c r="E1010" s="2">
        <f>_xlfn.IFERROR(C1010-C1009,0)</f>
        <v>1.0</v>
      </c>
      <c r="F1010" s="1">
        <f>INT((A1010-DATE(2020,1,22))/7)+1</f>
        <v>145.0</v>
      </c>
      <c r="G1010" s="1" t="str">
        <f>"Week_"&amp;F1010</f>
        <v>Week_145</v>
      </c>
    </row>
    <row r="1011" spans="8:8" ht="15.1">
      <c r="A1011" s="3">
        <v>44861.0</v>
      </c>
      <c r="B1011" s="2">
        <v>2034968.0</v>
      </c>
      <c r="C1011" s="2">
        <v>29418.0</v>
      </c>
      <c r="D1011" s="2">
        <f>_xlfn.IFERROR(B1011-B1010,0)</f>
        <v>102.0</v>
      </c>
      <c r="E1011" s="2">
        <f>_xlfn.IFERROR(C1011-C1010,0)</f>
        <v>1.0</v>
      </c>
      <c r="F1011" s="1">
        <f>INT((A1011-DATE(2020,1,22))/7)+1</f>
        <v>145.0</v>
      </c>
      <c r="G1011" s="1" t="str">
        <f>"Week_"&amp;F1011</f>
        <v>Week_145</v>
      </c>
    </row>
    <row r="1012" spans="8:8" ht="15.1">
      <c r="A1012" s="3">
        <v>44862.0</v>
      </c>
      <c r="B1012" s="2">
        <v>2035037.0</v>
      </c>
      <c r="C1012" s="2">
        <v>29419.0</v>
      </c>
      <c r="D1012" s="2">
        <f>_xlfn.IFERROR(B1012-B1011,0)</f>
        <v>69.0</v>
      </c>
      <c r="E1012" s="2">
        <f>_xlfn.IFERROR(C1012-C1011,0)</f>
        <v>1.0</v>
      </c>
      <c r="F1012" s="1">
        <f>INT((A1012-DATE(2020,1,22))/7)+1</f>
        <v>145.0</v>
      </c>
      <c r="G1012" s="1" t="str">
        <f>"Week_"&amp;F1012</f>
        <v>Week_145</v>
      </c>
    </row>
    <row r="1013" spans="8:8" ht="15.1">
      <c r="A1013" s="3">
        <v>44863.0</v>
      </c>
      <c r="B1013" s="2">
        <v>2035152.0</v>
      </c>
      <c r="C1013" s="2">
        <v>29423.0</v>
      </c>
      <c r="D1013" s="2">
        <f>_xlfn.IFERROR(B1013-B1012,0)</f>
        <v>115.0</v>
      </c>
      <c r="E1013" s="2">
        <f>_xlfn.IFERROR(C1013-C1012,0)</f>
        <v>4.0</v>
      </c>
      <c r="F1013" s="1">
        <f>INT((A1013-DATE(2020,1,22))/7)+1</f>
        <v>145.0</v>
      </c>
      <c r="G1013" s="1" t="str">
        <f>"Week_"&amp;F1013</f>
        <v>Week_145</v>
      </c>
    </row>
    <row r="1014" spans="8:8" ht="15.1">
      <c r="A1014" s="3">
        <v>44864.0</v>
      </c>
      <c r="B1014" s="2">
        <v>2035240.0</v>
      </c>
      <c r="C1014" s="2">
        <v>29423.0</v>
      </c>
      <c r="D1014" s="2">
        <f>_xlfn.IFERROR(B1014-B1013,0)</f>
        <v>88.0</v>
      </c>
      <c r="E1014" s="2">
        <f>_xlfn.IFERROR(C1014-C1013,0)</f>
        <v>0.0</v>
      </c>
      <c r="F1014" s="1">
        <f>INT((A1014-DATE(2020,1,22))/7)+1</f>
        <v>145.0</v>
      </c>
      <c r="G1014" s="1" t="str">
        <f>"Week_"&amp;F1014</f>
        <v>Week_145</v>
      </c>
    </row>
    <row r="1015" spans="8:8" ht="15.1">
      <c r="A1015" s="3">
        <v>44865.0</v>
      </c>
      <c r="B1015" s="2">
        <v>2035334.0</v>
      </c>
      <c r="C1015" s="2">
        <v>29424.0</v>
      </c>
      <c r="D1015" s="2">
        <f>_xlfn.IFERROR(B1015-B1014,0)</f>
        <v>94.0</v>
      </c>
      <c r="E1015" s="2">
        <f>_xlfn.IFERROR(C1015-C1014,0)</f>
        <v>1.0</v>
      </c>
      <c r="F1015" s="1">
        <f>INT((A1015-DATE(2020,1,22))/7)+1</f>
        <v>145.0</v>
      </c>
      <c r="G1015" s="1" t="str">
        <f>"Week_"&amp;F1015</f>
        <v>Week_145</v>
      </c>
    </row>
    <row r="1016" spans="8:8" ht="15.1">
      <c r="A1016" s="3">
        <v>44866.0</v>
      </c>
      <c r="B1016" s="2">
        <v>2035517.0</v>
      </c>
      <c r="C1016" s="2">
        <v>29424.0</v>
      </c>
      <c r="D1016" s="2">
        <f>_xlfn.IFERROR(B1016-B1015,0)</f>
        <v>183.0</v>
      </c>
      <c r="E1016" s="2">
        <f>_xlfn.IFERROR(C1016-C1015,0)</f>
        <v>0.0</v>
      </c>
      <c r="F1016" s="1">
        <f>INT((A1016-DATE(2020,1,22))/7)+1</f>
        <v>145.0</v>
      </c>
      <c r="G1016" s="1" t="str">
        <f>"Week_"&amp;F1016</f>
        <v>Week_145</v>
      </c>
    </row>
    <row r="1017" spans="8:8" ht="15.1">
      <c r="A1017" s="3">
        <v>44867.0</v>
      </c>
      <c r="B1017" s="2">
        <v>2035657.0</v>
      </c>
      <c r="C1017" s="2">
        <v>29425.0</v>
      </c>
      <c r="D1017" s="2">
        <f>_xlfn.IFERROR(B1017-B1016,0)</f>
        <v>140.0</v>
      </c>
      <c r="E1017" s="2">
        <f>_xlfn.IFERROR(C1017-C1016,0)</f>
        <v>1.0</v>
      </c>
      <c r="F1017" s="1">
        <f>INT((A1017-DATE(2020,1,22))/7)+1</f>
        <v>146.0</v>
      </c>
      <c r="G1017" s="1" t="str">
        <f>"Week_"&amp;F1017</f>
        <v>Week_146</v>
      </c>
    </row>
    <row r="1018" spans="8:8" ht="15.1">
      <c r="A1018" s="3">
        <v>44868.0</v>
      </c>
      <c r="B1018" s="2">
        <v>2035745.0</v>
      </c>
      <c r="C1018" s="2">
        <v>29425.0</v>
      </c>
      <c r="D1018" s="2">
        <f>_xlfn.IFERROR(B1018-B1017,0)</f>
        <v>88.0</v>
      </c>
      <c r="E1018" s="2">
        <f>_xlfn.IFERROR(C1018-C1017,0)</f>
        <v>0.0</v>
      </c>
      <c r="F1018" s="1">
        <f>INT((A1018-DATE(2020,1,22))/7)+1</f>
        <v>146.0</v>
      </c>
      <c r="G1018" s="1" t="str">
        <f>"Week_"&amp;F1018</f>
        <v>Week_146</v>
      </c>
    </row>
    <row r="1019" spans="8:8" ht="15.1">
      <c r="A1019" s="3">
        <v>44869.0</v>
      </c>
      <c r="B1019" s="2">
        <v>2035782.0</v>
      </c>
      <c r="C1019" s="2">
        <v>29425.0</v>
      </c>
      <c r="D1019" s="2">
        <f>_xlfn.IFERROR(B1019-B1018,0)</f>
        <v>37.0</v>
      </c>
      <c r="E1019" s="2">
        <f>_xlfn.IFERROR(C1019-C1018,0)</f>
        <v>0.0</v>
      </c>
      <c r="F1019" s="1">
        <f>INT((A1019-DATE(2020,1,22))/7)+1</f>
        <v>146.0</v>
      </c>
      <c r="G1019" s="1" t="str">
        <f>"Week_"&amp;F1019</f>
        <v>Week_146</v>
      </c>
    </row>
    <row r="1020" spans="8:8" ht="15.1">
      <c r="A1020" s="3">
        <v>44870.0</v>
      </c>
      <c r="B1020" s="2">
        <v>2035828.0</v>
      </c>
      <c r="C1020" s="2">
        <v>29426.0</v>
      </c>
      <c r="D1020" s="2">
        <f>_xlfn.IFERROR(B1020-B1019,0)</f>
        <v>46.0</v>
      </c>
      <c r="E1020" s="2">
        <f>_xlfn.IFERROR(C1020-C1019,0)</f>
        <v>1.0</v>
      </c>
      <c r="F1020" s="1">
        <f>INT((A1020-DATE(2020,1,22))/7)+1</f>
        <v>146.0</v>
      </c>
      <c r="G1020" s="1" t="str">
        <f>"Week_"&amp;F1020</f>
        <v>Week_146</v>
      </c>
    </row>
    <row r="1021" spans="8:8" ht="15.1">
      <c r="A1021" s="3">
        <v>44871.0</v>
      </c>
      <c r="B1021" s="2">
        <v>2035882.0</v>
      </c>
      <c r="C1021" s="2">
        <v>29426.0</v>
      </c>
      <c r="D1021" s="2">
        <f>_xlfn.IFERROR(B1021-B1020,0)</f>
        <v>54.0</v>
      </c>
      <c r="E1021" s="2">
        <f>_xlfn.IFERROR(C1021-C1020,0)</f>
        <v>0.0</v>
      </c>
      <c r="F1021" s="1">
        <f>INT((A1021-DATE(2020,1,22))/7)+1</f>
        <v>146.0</v>
      </c>
      <c r="G1021" s="1" t="str">
        <f>"Week_"&amp;F1021</f>
        <v>Week_146</v>
      </c>
    </row>
    <row r="1022" spans="8:8" ht="15.1">
      <c r="A1022" s="3">
        <v>44872.0</v>
      </c>
      <c r="B1022" s="2">
        <v>2035930.0</v>
      </c>
      <c r="C1022" s="2">
        <v>29426.0</v>
      </c>
      <c r="D1022" s="2">
        <f>_xlfn.IFERROR(B1022-B1021,0)</f>
        <v>48.0</v>
      </c>
      <c r="E1022" s="2">
        <f>_xlfn.IFERROR(C1022-C1021,0)</f>
        <v>0.0</v>
      </c>
      <c r="F1022" s="1">
        <f>INT((A1022-DATE(2020,1,22))/7)+1</f>
        <v>146.0</v>
      </c>
      <c r="G1022" s="1" t="str">
        <f>"Week_"&amp;F1022</f>
        <v>Week_146</v>
      </c>
    </row>
    <row r="1023" spans="8:8" ht="15.1">
      <c r="A1023" s="3">
        <v>44873.0</v>
      </c>
      <c r="B1023" s="2">
        <v>2035992.0</v>
      </c>
      <c r="C1023" s="2">
        <v>29426.0</v>
      </c>
      <c r="D1023" s="2">
        <f>_xlfn.IFERROR(B1023-B1022,0)</f>
        <v>62.0</v>
      </c>
      <c r="E1023" s="2">
        <f>_xlfn.IFERROR(C1023-C1022,0)</f>
        <v>0.0</v>
      </c>
      <c r="F1023" s="1">
        <f>INT((A1023-DATE(2020,1,22))/7)+1</f>
        <v>146.0</v>
      </c>
      <c r="G1023" s="1" t="str">
        <f>"Week_"&amp;F1023</f>
        <v>Week_146</v>
      </c>
    </row>
    <row r="1024" spans="8:8" ht="15.1">
      <c r="A1024" s="3">
        <v>44874.0</v>
      </c>
      <c r="B1024" s="2">
        <v>2036061.0</v>
      </c>
      <c r="C1024" s="2">
        <v>29426.0</v>
      </c>
      <c r="D1024" s="2">
        <f>_xlfn.IFERROR(B1024-B1023,0)</f>
        <v>69.0</v>
      </c>
      <c r="E1024" s="2">
        <f>_xlfn.IFERROR(C1024-C1023,0)</f>
        <v>0.0</v>
      </c>
      <c r="F1024" s="1">
        <f>INT((A1024-DATE(2020,1,22))/7)+1</f>
        <v>147.0</v>
      </c>
      <c r="G1024" s="1" t="str">
        <f>"Week_"&amp;F1024</f>
        <v>Week_147</v>
      </c>
    </row>
    <row r="1025" spans="8:8" ht="15.1">
      <c r="A1025" s="3">
        <v>44875.0</v>
      </c>
      <c r="B1025" s="2">
        <v>2036109.0</v>
      </c>
      <c r="C1025" s="2">
        <v>29426.0</v>
      </c>
      <c r="D1025" s="2">
        <f>_xlfn.IFERROR(B1025-B1024,0)</f>
        <v>48.0</v>
      </c>
      <c r="E1025" s="2">
        <f>_xlfn.IFERROR(C1025-C1024,0)</f>
        <v>0.0</v>
      </c>
      <c r="F1025" s="1">
        <f>INT((A1025-DATE(2020,1,22))/7)+1</f>
        <v>147.0</v>
      </c>
      <c r="G1025" s="1" t="str">
        <f>"Week_"&amp;F1025</f>
        <v>Week_147</v>
      </c>
    </row>
    <row r="1026" spans="8:8" ht="15.1">
      <c r="A1026" s="3">
        <v>44876.0</v>
      </c>
      <c r="B1026" s="2">
        <v>2036131.0</v>
      </c>
      <c r="C1026" s="2">
        <v>29426.0</v>
      </c>
      <c r="D1026" s="2">
        <f>_xlfn.IFERROR(B1026-B1025,0)</f>
        <v>22.0</v>
      </c>
      <c r="E1026" s="2">
        <f>_xlfn.IFERROR(C1026-C1025,0)</f>
        <v>0.0</v>
      </c>
      <c r="F1026" s="1">
        <f>INT((A1026-DATE(2020,1,22))/7)+1</f>
        <v>147.0</v>
      </c>
      <c r="G1026" s="1" t="str">
        <f>"Week_"&amp;F1026</f>
        <v>Week_147</v>
      </c>
    </row>
    <row r="1027" spans="8:8" ht="15.1">
      <c r="A1027" s="3">
        <v>44877.0</v>
      </c>
      <c r="B1027" s="2">
        <v>2036166.0</v>
      </c>
      <c r="C1027" s="2">
        <v>29427.0</v>
      </c>
      <c r="D1027" s="2">
        <f>_xlfn.IFERROR(B1027-B1026,0)</f>
        <v>35.0</v>
      </c>
      <c r="E1027" s="2">
        <f>_xlfn.IFERROR(C1027-C1026,0)</f>
        <v>1.0</v>
      </c>
      <c r="F1027" s="1">
        <f>INT((A1027-DATE(2020,1,22))/7)+1</f>
        <v>147.0</v>
      </c>
      <c r="G1027" s="1" t="str">
        <f>"Week_"&amp;F1027</f>
        <v>Week_147</v>
      </c>
    </row>
    <row r="1028" spans="8:8" ht="15.1">
      <c r="A1028" s="3">
        <v>44878.0</v>
      </c>
      <c r="B1028" s="2">
        <v>2036204.0</v>
      </c>
      <c r="C1028" s="2">
        <v>29429.0</v>
      </c>
      <c r="D1028" s="2">
        <f>_xlfn.IFERROR(B1028-B1027,0)</f>
        <v>38.0</v>
      </c>
      <c r="E1028" s="2">
        <f>_xlfn.IFERROR(C1028-C1027,0)</f>
        <v>2.0</v>
      </c>
      <c r="F1028" s="1">
        <f>INT((A1028-DATE(2020,1,22))/7)+1</f>
        <v>147.0</v>
      </c>
      <c r="G1028" s="1" t="str">
        <f>"Week_"&amp;F1028</f>
        <v>Week_147</v>
      </c>
    </row>
    <row r="1029" spans="8:8" ht="15.1">
      <c r="A1029" s="3">
        <v>44879.0</v>
      </c>
      <c r="B1029" s="2">
        <v>2036233.0</v>
      </c>
      <c r="C1029" s="2">
        <v>29429.0</v>
      </c>
      <c r="D1029" s="2">
        <f>_xlfn.IFERROR(B1029-B1028,0)</f>
        <v>29.0</v>
      </c>
      <c r="E1029" s="2">
        <f>_xlfn.IFERROR(C1029-C1028,0)</f>
        <v>0.0</v>
      </c>
      <c r="F1029" s="1">
        <f>INT((A1029-DATE(2020,1,22))/7)+1</f>
        <v>147.0</v>
      </c>
      <c r="G1029" s="1" t="str">
        <f>"Week_"&amp;F1029</f>
        <v>Week_147</v>
      </c>
    </row>
    <row r="1030" spans="8:8" ht="15.1">
      <c r="A1030" s="3">
        <v>44880.0</v>
      </c>
      <c r="B1030" s="2">
        <v>2036268.0</v>
      </c>
      <c r="C1030" s="2">
        <v>29430.0</v>
      </c>
      <c r="D1030" s="2">
        <f>_xlfn.IFERROR(B1030-B1029,0)</f>
        <v>35.0</v>
      </c>
      <c r="E1030" s="2">
        <f>_xlfn.IFERROR(C1030-C1029,0)</f>
        <v>1.0</v>
      </c>
      <c r="F1030" s="1">
        <f>INT((A1030-DATE(2020,1,22))/7)+1</f>
        <v>147.0</v>
      </c>
      <c r="G1030" s="1" t="str">
        <f>"Week_"&amp;F1030</f>
        <v>Week_147</v>
      </c>
    </row>
    <row r="1031" spans="8:8" ht="15.1">
      <c r="A1031" s="3">
        <v>44881.0</v>
      </c>
      <c r="B1031" s="2">
        <v>2036306.0</v>
      </c>
      <c r="C1031" s="2">
        <v>29430.0</v>
      </c>
      <c r="D1031" s="2">
        <f>_xlfn.IFERROR(B1031-B1030,0)</f>
        <v>38.0</v>
      </c>
      <c r="E1031" s="2">
        <f>_xlfn.IFERROR(C1031-C1030,0)</f>
        <v>0.0</v>
      </c>
      <c r="F1031" s="1">
        <f>INT((A1031-DATE(2020,1,22))/7)+1</f>
        <v>148.0</v>
      </c>
      <c r="G1031" s="1" t="str">
        <f>"Week_"&amp;F1031</f>
        <v>Week_148</v>
      </c>
    </row>
    <row r="1032" spans="8:8" ht="15.1">
      <c r="A1032" s="3">
        <v>44882.0</v>
      </c>
      <c r="B1032" s="2">
        <v>2036325.0</v>
      </c>
      <c r="C1032" s="2">
        <v>29430.0</v>
      </c>
      <c r="D1032" s="2">
        <f>_xlfn.IFERROR(B1032-B1031,0)</f>
        <v>19.0</v>
      </c>
      <c r="E1032" s="2">
        <f>_xlfn.IFERROR(C1032-C1031,0)</f>
        <v>0.0</v>
      </c>
      <c r="F1032" s="1">
        <f>INT((A1032-DATE(2020,1,22))/7)+1</f>
        <v>148.0</v>
      </c>
      <c r="G1032" s="1" t="str">
        <f>"Week_"&amp;F1032</f>
        <v>Week_148</v>
      </c>
    </row>
    <row r="1033" spans="8:8" ht="15.1">
      <c r="A1033" s="3">
        <v>44883.0</v>
      </c>
      <c r="B1033" s="2">
        <v>2036343.0</v>
      </c>
      <c r="C1033" s="2">
        <v>29430.0</v>
      </c>
      <c r="D1033" s="2">
        <f>_xlfn.IFERROR(B1033-B1032,0)</f>
        <v>18.0</v>
      </c>
      <c r="E1033" s="2">
        <f>_xlfn.IFERROR(C1033-C1032,0)</f>
        <v>0.0</v>
      </c>
      <c r="F1033" s="1">
        <f>INT((A1033-DATE(2020,1,22))/7)+1</f>
        <v>148.0</v>
      </c>
      <c r="G1033" s="1" t="str">
        <f>"Week_"&amp;F1033</f>
        <v>Week_148</v>
      </c>
    </row>
    <row r="1034" spans="8:8" ht="15.1">
      <c r="A1034" s="3">
        <v>44884.0</v>
      </c>
      <c r="B1034" s="2">
        <v>2036367.0</v>
      </c>
      <c r="C1034" s="2">
        <v>29430.0</v>
      </c>
      <c r="D1034" s="2">
        <f>_xlfn.IFERROR(B1034-B1033,0)</f>
        <v>24.0</v>
      </c>
      <c r="E1034" s="2">
        <f>_xlfn.IFERROR(C1034-C1033,0)</f>
        <v>0.0</v>
      </c>
      <c r="F1034" s="1">
        <f>INT((A1034-DATE(2020,1,22))/7)+1</f>
        <v>148.0</v>
      </c>
      <c r="G1034" s="1" t="str">
        <f>"Week_"&amp;F1034</f>
        <v>Week_148</v>
      </c>
    </row>
    <row r="1035" spans="8:8" ht="15.1">
      <c r="A1035" s="3">
        <v>44885.0</v>
      </c>
      <c r="B1035" s="2">
        <v>2036393.0</v>
      </c>
      <c r="C1035" s="2">
        <v>29431.0</v>
      </c>
      <c r="D1035" s="2">
        <f>_xlfn.IFERROR(B1035-B1034,0)</f>
        <v>26.0</v>
      </c>
      <c r="E1035" s="2">
        <f>_xlfn.IFERROR(C1035-C1034,0)</f>
        <v>1.0</v>
      </c>
      <c r="F1035" s="1">
        <f>INT((A1035-DATE(2020,1,22))/7)+1</f>
        <v>148.0</v>
      </c>
      <c r="G1035" s="1" t="str">
        <f>"Week_"&amp;F1035</f>
        <v>Week_148</v>
      </c>
    </row>
    <row r="1036" spans="8:8" ht="15.1">
      <c r="A1036" s="3">
        <v>44886.0</v>
      </c>
      <c r="B1036" s="2">
        <v>2036416.0</v>
      </c>
      <c r="C1036" s="2">
        <v>29431.0</v>
      </c>
      <c r="D1036" s="2">
        <f>_xlfn.IFERROR(B1036-B1035,0)</f>
        <v>23.0</v>
      </c>
      <c r="E1036" s="2">
        <f>_xlfn.IFERROR(C1036-C1035,0)</f>
        <v>0.0</v>
      </c>
      <c r="F1036" s="1">
        <f>INT((A1036-DATE(2020,1,22))/7)+1</f>
        <v>148.0</v>
      </c>
      <c r="G1036" s="1" t="str">
        <f>"Week_"&amp;F1036</f>
        <v>Week_148</v>
      </c>
    </row>
    <row r="1037" spans="8:8" ht="15.1">
      <c r="A1037" s="3">
        <v>44887.0</v>
      </c>
      <c r="B1037" s="2">
        <v>2036449.0</v>
      </c>
      <c r="C1037" s="2">
        <v>29431.0</v>
      </c>
      <c r="D1037" s="2">
        <f>_xlfn.IFERROR(B1037-B1036,0)</f>
        <v>33.0</v>
      </c>
      <c r="E1037" s="2">
        <f>_xlfn.IFERROR(C1037-C1036,0)</f>
        <v>0.0</v>
      </c>
      <c r="F1037" s="1">
        <f>INT((A1037-DATE(2020,1,22))/7)+1</f>
        <v>148.0</v>
      </c>
      <c r="G1037" s="1" t="str">
        <f>"Week_"&amp;F1037</f>
        <v>Week_148</v>
      </c>
    </row>
    <row r="1038" spans="8:8" ht="15.1">
      <c r="A1038" s="3">
        <v>44888.0</v>
      </c>
      <c r="B1038" s="2">
        <v>2036469.0</v>
      </c>
      <c r="C1038" s="2">
        <v>29431.0</v>
      </c>
      <c r="D1038" s="2">
        <f>_xlfn.IFERROR(B1038-B1037,0)</f>
        <v>20.0</v>
      </c>
      <c r="E1038" s="2">
        <f>_xlfn.IFERROR(C1038-C1037,0)</f>
        <v>0.0</v>
      </c>
      <c r="F1038" s="1">
        <f>INT((A1038-DATE(2020,1,22))/7)+1</f>
        <v>149.0</v>
      </c>
      <c r="G1038" s="1" t="str">
        <f>"Week_"&amp;F1038</f>
        <v>Week_149</v>
      </c>
    </row>
    <row r="1039" spans="8:8" ht="15.1">
      <c r="A1039" s="3">
        <v>44889.0</v>
      </c>
      <c r="B1039" s="2">
        <v>2036488.0</v>
      </c>
      <c r="C1039" s="2">
        <v>29431.0</v>
      </c>
      <c r="D1039" s="2">
        <f>_xlfn.IFERROR(B1039-B1038,0)</f>
        <v>19.0</v>
      </c>
      <c r="E1039" s="2">
        <f>_xlfn.IFERROR(C1039-C1038,0)</f>
        <v>0.0</v>
      </c>
      <c r="F1039" s="1">
        <f>INT((A1039-DATE(2020,1,22))/7)+1</f>
        <v>149.0</v>
      </c>
      <c r="G1039" s="1" t="str">
        <f>"Week_"&amp;F1039</f>
        <v>Week_149</v>
      </c>
    </row>
    <row r="1040" spans="8:8" ht="15.1">
      <c r="A1040" s="3">
        <v>44890.0</v>
      </c>
      <c r="B1040" s="2">
        <v>2036511.0</v>
      </c>
      <c r="C1040" s="2">
        <v>29431.0</v>
      </c>
      <c r="D1040" s="2">
        <f>_xlfn.IFERROR(B1040-B1039,0)</f>
        <v>23.0</v>
      </c>
      <c r="E1040" s="2">
        <f>_xlfn.IFERROR(C1040-C1039,0)</f>
        <v>0.0</v>
      </c>
      <c r="F1040" s="1">
        <f>INT((A1040-DATE(2020,1,22))/7)+1</f>
        <v>149.0</v>
      </c>
      <c r="G1040" s="1" t="str">
        <f>"Week_"&amp;F1040</f>
        <v>Week_149</v>
      </c>
    </row>
    <row r="1041" spans="8:8" ht="15.1">
      <c r="A1041" s="3">
        <v>44891.0</v>
      </c>
      <c r="B1041" s="2">
        <v>2036527.0</v>
      </c>
      <c r="C1041" s="2">
        <v>29431.0</v>
      </c>
      <c r="D1041" s="2">
        <f>_xlfn.IFERROR(B1041-B1040,0)</f>
        <v>16.0</v>
      </c>
      <c r="E1041" s="2">
        <f>_xlfn.IFERROR(C1041-C1040,0)</f>
        <v>0.0</v>
      </c>
      <c r="F1041" s="1">
        <f>INT((A1041-DATE(2020,1,22))/7)+1</f>
        <v>149.0</v>
      </c>
      <c r="G1041" s="1" t="str">
        <f>"Week_"&amp;F1041</f>
        <v>Week_149</v>
      </c>
    </row>
    <row r="1042" spans="8:8" ht="15.1">
      <c r="A1042" s="3">
        <v>44892.0</v>
      </c>
      <c r="B1042" s="2">
        <v>2036556.0</v>
      </c>
      <c r="C1042" s="2">
        <v>29432.0</v>
      </c>
      <c r="D1042" s="2">
        <f>_xlfn.IFERROR(B1042-B1041,0)</f>
        <v>29.0</v>
      </c>
      <c r="E1042" s="2">
        <f>_xlfn.IFERROR(C1042-C1041,0)</f>
        <v>1.0</v>
      </c>
      <c r="F1042" s="1">
        <f>INT((A1042-DATE(2020,1,22))/7)+1</f>
        <v>149.0</v>
      </c>
      <c r="G1042" s="1" t="str">
        <f>"Week_"&amp;F1042</f>
        <v>Week_149</v>
      </c>
    </row>
    <row r="1043" spans="8:8" ht="15.1">
      <c r="A1043" s="3">
        <v>44893.0</v>
      </c>
      <c r="B1043" s="2">
        <v>2036567.0</v>
      </c>
      <c r="C1043" s="2">
        <v>29433.0</v>
      </c>
      <c r="D1043" s="2">
        <f>_xlfn.IFERROR(B1043-B1042,0)</f>
        <v>11.0</v>
      </c>
      <c r="E1043" s="2">
        <f>_xlfn.IFERROR(C1043-C1042,0)</f>
        <v>1.0</v>
      </c>
      <c r="F1043" s="1">
        <f>INT((A1043-DATE(2020,1,22))/7)+1</f>
        <v>149.0</v>
      </c>
      <c r="G1043" s="1" t="str">
        <f>"Week_"&amp;F1043</f>
        <v>Week_149</v>
      </c>
    </row>
    <row r="1044" spans="8:8" ht="15.1">
      <c r="A1044" s="3">
        <v>44894.0</v>
      </c>
      <c r="B1044" s="2">
        <v>2036585.0</v>
      </c>
      <c r="C1044" s="2">
        <v>29433.0</v>
      </c>
      <c r="D1044" s="2">
        <f>_xlfn.IFERROR(B1044-B1043,0)</f>
        <v>18.0</v>
      </c>
      <c r="E1044" s="2">
        <f>_xlfn.IFERROR(C1044-C1043,0)</f>
        <v>0.0</v>
      </c>
      <c r="F1044" s="1">
        <f>INT((A1044-DATE(2020,1,22))/7)+1</f>
        <v>149.0</v>
      </c>
      <c r="G1044" s="1" t="str">
        <f>"Week_"&amp;F1044</f>
        <v>Week_149</v>
      </c>
    </row>
    <row r="1045" spans="8:8" ht="15.1">
      <c r="A1045" s="3">
        <v>44895.0</v>
      </c>
      <c r="B1045" s="2">
        <v>2036597.0</v>
      </c>
      <c r="C1045" s="2">
        <v>29433.0</v>
      </c>
      <c r="D1045" s="2">
        <f>_xlfn.IFERROR(B1045-B1044,0)</f>
        <v>12.0</v>
      </c>
      <c r="E1045" s="2">
        <f>_xlfn.IFERROR(C1045-C1044,0)</f>
        <v>0.0</v>
      </c>
      <c r="F1045" s="1">
        <f>INT((A1045-DATE(2020,1,22))/7)+1</f>
        <v>150.0</v>
      </c>
      <c r="G1045" s="1" t="str">
        <f>"Week_"&amp;F1045</f>
        <v>Week_150</v>
      </c>
    </row>
    <row r="1046" spans="8:8" ht="15.1">
      <c r="A1046" s="3">
        <v>44896.0</v>
      </c>
      <c r="B1046" s="2">
        <v>2036597.0</v>
      </c>
      <c r="C1046" s="2">
        <v>29433.0</v>
      </c>
      <c r="D1046" s="2">
        <f>_xlfn.IFERROR(B1046-B1045,0)</f>
        <v>0.0</v>
      </c>
      <c r="E1046" s="2">
        <f>_xlfn.IFERROR(C1046-C1045,0)</f>
        <v>0.0</v>
      </c>
      <c r="F1046" s="1">
        <f>INT((A1046-DATE(2020,1,22))/7)+1</f>
        <v>150.0</v>
      </c>
      <c r="G1046" s="1" t="str">
        <f>"Week_"&amp;F1046</f>
        <v>Week_150</v>
      </c>
    </row>
    <row r="1047" spans="8:8" ht="15.1">
      <c r="A1047" s="3">
        <v>44897.0</v>
      </c>
      <c r="B1047" s="2">
        <v>2036622.0</v>
      </c>
      <c r="C1047" s="2">
        <v>29434.0</v>
      </c>
      <c r="D1047" s="2">
        <f>_xlfn.IFERROR(B1047-B1046,0)</f>
        <v>25.0</v>
      </c>
      <c r="E1047" s="2">
        <f>_xlfn.IFERROR(C1047-C1046,0)</f>
        <v>1.0</v>
      </c>
      <c r="F1047" s="1">
        <f>INT((A1047-DATE(2020,1,22))/7)+1</f>
        <v>150.0</v>
      </c>
      <c r="G1047" s="1" t="str">
        <f>"Week_"&amp;F1047</f>
        <v>Week_150</v>
      </c>
    </row>
    <row r="1048" spans="8:8" ht="15.1">
      <c r="A1048" s="3">
        <v>44898.0</v>
      </c>
      <c r="B1048" s="2">
        <v>2036637.0</v>
      </c>
      <c r="C1048" s="2">
        <v>29434.0</v>
      </c>
      <c r="D1048" s="2">
        <f>_xlfn.IFERROR(B1048-B1047,0)</f>
        <v>15.0</v>
      </c>
      <c r="E1048" s="2">
        <f>_xlfn.IFERROR(C1048-C1047,0)</f>
        <v>0.0</v>
      </c>
      <c r="F1048" s="1">
        <f>INT((A1048-DATE(2020,1,22))/7)+1</f>
        <v>150.0</v>
      </c>
      <c r="G1048" s="1" t="str">
        <f>"Week_"&amp;F1048</f>
        <v>Week_150</v>
      </c>
    </row>
    <row r="1049" spans="8:8" ht="15.1">
      <c r="A1049" s="3">
        <v>44899.0</v>
      </c>
      <c r="B1049" s="2">
        <v>2036663.0</v>
      </c>
      <c r="C1049" s="2">
        <v>29435.0</v>
      </c>
      <c r="D1049" s="2">
        <f>_xlfn.IFERROR(B1049-B1048,0)</f>
        <v>26.0</v>
      </c>
      <c r="E1049" s="2">
        <f>_xlfn.IFERROR(C1049-C1048,0)</f>
        <v>1.0</v>
      </c>
      <c r="F1049" s="1">
        <f>INT((A1049-DATE(2020,1,22))/7)+1</f>
        <v>150.0</v>
      </c>
      <c r="G1049" s="1" t="str">
        <f>"Week_"&amp;F1049</f>
        <v>Week_150</v>
      </c>
    </row>
    <row r="1050" spans="8:8" ht="15.1">
      <c r="A1050" s="3">
        <v>44900.0</v>
      </c>
      <c r="B1050" s="2">
        <v>2036685.0</v>
      </c>
      <c r="C1050" s="2">
        <v>29435.0</v>
      </c>
      <c r="D1050" s="2">
        <f>_xlfn.IFERROR(B1050-B1049,0)</f>
        <v>22.0</v>
      </c>
      <c r="E1050" s="2">
        <f>_xlfn.IFERROR(C1050-C1049,0)</f>
        <v>0.0</v>
      </c>
      <c r="F1050" s="1">
        <f>INT((A1050-DATE(2020,1,22))/7)+1</f>
        <v>150.0</v>
      </c>
      <c r="G1050" s="1" t="str">
        <f>"Week_"&amp;F1050</f>
        <v>Week_150</v>
      </c>
    </row>
    <row r="1051" spans="8:8" ht="15.1">
      <c r="A1051" s="3">
        <v>44901.0</v>
      </c>
      <c r="B1051" s="2">
        <v>2036717.0</v>
      </c>
      <c r="C1051" s="2">
        <v>29436.0</v>
      </c>
      <c r="D1051" s="2">
        <f>_xlfn.IFERROR(B1051-B1050,0)</f>
        <v>32.0</v>
      </c>
      <c r="E1051" s="2">
        <f>_xlfn.IFERROR(C1051-C1050,0)</f>
        <v>1.0</v>
      </c>
      <c r="F1051" s="1">
        <f>INT((A1051-DATE(2020,1,22))/7)+1</f>
        <v>150.0</v>
      </c>
      <c r="G1051" s="1" t="str">
        <f>"Week_"&amp;F1051</f>
        <v>Week_150</v>
      </c>
    </row>
    <row r="1052" spans="8:8" ht="15.1">
      <c r="A1052" s="3">
        <v>44902.0</v>
      </c>
      <c r="B1052" s="2">
        <v>2036730.0</v>
      </c>
      <c r="C1052" s="2">
        <v>29436.0</v>
      </c>
      <c r="D1052" s="2">
        <f>_xlfn.IFERROR(B1052-B1051,0)</f>
        <v>13.0</v>
      </c>
      <c r="E1052" s="2">
        <f>_xlfn.IFERROR(C1052-C1051,0)</f>
        <v>0.0</v>
      </c>
      <c r="F1052" s="1">
        <f>INT((A1052-DATE(2020,1,22))/7)+1</f>
        <v>151.0</v>
      </c>
      <c r="G1052" s="1" t="str">
        <f>"Week_"&amp;F1052</f>
        <v>Week_151</v>
      </c>
    </row>
    <row r="1053" spans="8:8" ht="15.1">
      <c r="A1053" s="3">
        <v>44903.0</v>
      </c>
      <c r="B1053" s="2">
        <v>2036760.0</v>
      </c>
      <c r="C1053" s="2">
        <v>29436.0</v>
      </c>
      <c r="D1053" s="2">
        <f>_xlfn.IFERROR(B1053-B1052,0)</f>
        <v>30.0</v>
      </c>
      <c r="E1053" s="2">
        <f>_xlfn.IFERROR(C1053-C1052,0)</f>
        <v>0.0</v>
      </c>
      <c r="F1053" s="1">
        <f>INT((A1053-DATE(2020,1,22))/7)+1</f>
        <v>151.0</v>
      </c>
      <c r="G1053" s="1" t="str">
        <f>"Week_"&amp;F1053</f>
        <v>Week_151</v>
      </c>
    </row>
    <row r="1054" spans="8:8" ht="15.1">
      <c r="A1054" s="3">
        <v>44904.0</v>
      </c>
      <c r="B1054" s="2">
        <v>2036777.0</v>
      </c>
      <c r="C1054" s="2">
        <v>29436.0</v>
      </c>
      <c r="D1054" s="2">
        <f>_xlfn.IFERROR(B1054-B1053,0)</f>
        <v>17.0</v>
      </c>
      <c r="E1054" s="2">
        <f>_xlfn.IFERROR(C1054-C1053,0)</f>
        <v>0.0</v>
      </c>
      <c r="F1054" s="1">
        <f>INT((A1054-DATE(2020,1,22))/7)+1</f>
        <v>151.0</v>
      </c>
      <c r="G1054" s="1" t="str">
        <f>"Week_"&amp;F1054</f>
        <v>Week_151</v>
      </c>
    </row>
    <row r="1055" spans="8:8" ht="15.1">
      <c r="A1055" s="3">
        <v>44905.0</v>
      </c>
      <c r="B1055" s="2">
        <v>2036806.0</v>
      </c>
      <c r="C1055" s="2">
        <v>29436.0</v>
      </c>
      <c r="D1055" s="2">
        <f>_xlfn.IFERROR(B1055-B1054,0)</f>
        <v>29.0</v>
      </c>
      <c r="E1055" s="2">
        <f>_xlfn.IFERROR(C1055-C1054,0)</f>
        <v>0.0</v>
      </c>
      <c r="F1055" s="1">
        <f>INT((A1055-DATE(2020,1,22))/7)+1</f>
        <v>151.0</v>
      </c>
      <c r="G1055" s="1" t="str">
        <f>"Week_"&amp;F1055</f>
        <v>Week_151</v>
      </c>
    </row>
    <row r="1056" spans="8:8" ht="15.1">
      <c r="A1056" s="3">
        <v>44906.0</v>
      </c>
      <c r="B1056" s="2">
        <v>2036825.0</v>
      </c>
      <c r="C1056" s="2">
        <v>29437.0</v>
      </c>
      <c r="D1056" s="2">
        <f>_xlfn.IFERROR(B1056-B1055,0)</f>
        <v>19.0</v>
      </c>
      <c r="E1056" s="2">
        <f>_xlfn.IFERROR(C1056-C1055,0)</f>
        <v>1.0</v>
      </c>
      <c r="F1056" s="1">
        <f>INT((A1056-DATE(2020,1,22))/7)+1</f>
        <v>151.0</v>
      </c>
      <c r="G1056" s="1" t="str">
        <f>"Week_"&amp;F1056</f>
        <v>Week_151</v>
      </c>
    </row>
    <row r="1057" spans="8:8" ht="15.1">
      <c r="A1057" s="3">
        <v>44907.0</v>
      </c>
      <c r="B1057" s="2">
        <v>2036845.0</v>
      </c>
      <c r="C1057" s="2">
        <v>29437.0</v>
      </c>
      <c r="D1057" s="2">
        <f>_xlfn.IFERROR(B1057-B1056,0)</f>
        <v>20.0</v>
      </c>
      <c r="E1057" s="2">
        <f>_xlfn.IFERROR(C1057-C1056,0)</f>
        <v>0.0</v>
      </c>
      <c r="F1057" s="1">
        <f>INT((A1057-DATE(2020,1,22))/7)+1</f>
        <v>151.0</v>
      </c>
      <c r="G1057" s="1" t="str">
        <f>"Week_"&amp;F1057</f>
        <v>Week_151</v>
      </c>
    </row>
    <row r="1058" spans="8:8" ht="15.1">
      <c r="A1058" s="3">
        <v>44908.0</v>
      </c>
      <c r="B1058" s="2">
        <v>2036866.0</v>
      </c>
      <c r="C1058" s="2">
        <v>29437.0</v>
      </c>
      <c r="D1058" s="2">
        <f>_xlfn.IFERROR(B1058-B1057,0)</f>
        <v>21.0</v>
      </c>
      <c r="E1058" s="2">
        <f>_xlfn.IFERROR(C1058-C1057,0)</f>
        <v>0.0</v>
      </c>
      <c r="F1058" s="1">
        <f>INT((A1058-DATE(2020,1,22))/7)+1</f>
        <v>151.0</v>
      </c>
      <c r="G1058" s="1" t="str">
        <f>"Week_"&amp;F1058</f>
        <v>Week_151</v>
      </c>
    </row>
    <row r="1059" spans="8:8" ht="15.1">
      <c r="A1059" s="3">
        <v>44909.0</v>
      </c>
      <c r="B1059" s="2">
        <v>2036881.0</v>
      </c>
      <c r="C1059" s="2">
        <v>29437.0</v>
      </c>
      <c r="D1059" s="2">
        <f>_xlfn.IFERROR(B1059-B1058,0)</f>
        <v>15.0</v>
      </c>
      <c r="E1059" s="2">
        <f>_xlfn.IFERROR(C1059-C1058,0)</f>
        <v>0.0</v>
      </c>
      <c r="F1059" s="1">
        <f>INT((A1059-DATE(2020,1,22))/7)+1</f>
        <v>152.0</v>
      </c>
      <c r="G1059" s="1" t="str">
        <f>"Week_"&amp;F1059</f>
        <v>Week_152</v>
      </c>
    </row>
    <row r="1060" spans="8:8" ht="15.1">
      <c r="A1060" s="3">
        <v>44910.0</v>
      </c>
      <c r="B1060" s="2">
        <v>2036897.0</v>
      </c>
      <c r="C1060" s="2">
        <v>29437.0</v>
      </c>
      <c r="D1060" s="2">
        <f>_xlfn.IFERROR(B1060-B1059,0)</f>
        <v>16.0</v>
      </c>
      <c r="E1060" s="2">
        <f>_xlfn.IFERROR(C1060-C1059,0)</f>
        <v>0.0</v>
      </c>
      <c r="F1060" s="1">
        <f>INT((A1060-DATE(2020,1,22))/7)+1</f>
        <v>152.0</v>
      </c>
      <c r="G1060" s="1" t="str">
        <f>"Week_"&amp;F1060</f>
        <v>Week_152</v>
      </c>
    </row>
    <row r="1061" spans="8:8" ht="15.1">
      <c r="A1061" s="3">
        <v>44911.0</v>
      </c>
      <c r="B1061" s="2">
        <v>2036911.0</v>
      </c>
      <c r="C1061" s="2">
        <v>29438.0</v>
      </c>
      <c r="D1061" s="2">
        <f>_xlfn.IFERROR(B1061-B1060,0)</f>
        <v>14.0</v>
      </c>
      <c r="E1061" s="2">
        <f>_xlfn.IFERROR(C1061-C1060,0)</f>
        <v>1.0</v>
      </c>
      <c r="F1061" s="1">
        <f>INT((A1061-DATE(2020,1,22))/7)+1</f>
        <v>152.0</v>
      </c>
      <c r="G1061" s="1" t="str">
        <f>"Week_"&amp;F1061</f>
        <v>Week_152</v>
      </c>
    </row>
    <row r="1062" spans="8:8" ht="15.1">
      <c r="A1062" s="3">
        <v>44912.0</v>
      </c>
      <c r="B1062" s="2">
        <v>2036928.0</v>
      </c>
      <c r="C1062" s="2">
        <v>29438.0</v>
      </c>
      <c r="D1062" s="2">
        <f>_xlfn.IFERROR(B1062-B1061,0)</f>
        <v>17.0</v>
      </c>
      <c r="E1062" s="2">
        <f>_xlfn.IFERROR(C1062-C1061,0)</f>
        <v>0.0</v>
      </c>
      <c r="F1062" s="1">
        <f>INT((A1062-DATE(2020,1,22))/7)+1</f>
        <v>152.0</v>
      </c>
      <c r="G1062" s="1" t="str">
        <f>"Week_"&amp;F1062</f>
        <v>Week_152</v>
      </c>
    </row>
    <row r="1063" spans="8:8" ht="15.1">
      <c r="A1063" s="3">
        <v>44913.0</v>
      </c>
      <c r="B1063" s="2">
        <v>2036948.0</v>
      </c>
      <c r="C1063" s="2">
        <v>29438.0</v>
      </c>
      <c r="D1063" s="2">
        <f>_xlfn.IFERROR(B1063-B1062,0)</f>
        <v>20.0</v>
      </c>
      <c r="E1063" s="2">
        <f>_xlfn.IFERROR(C1063-C1062,0)</f>
        <v>0.0</v>
      </c>
      <c r="F1063" s="1">
        <f>INT((A1063-DATE(2020,1,22))/7)+1</f>
        <v>152.0</v>
      </c>
      <c r="G1063" s="1" t="str">
        <f>"Week_"&amp;F1063</f>
        <v>Week_152</v>
      </c>
    </row>
    <row r="1064" spans="8:8" ht="15.1">
      <c r="A1064" s="3">
        <v>44914.0</v>
      </c>
      <c r="B1064" s="2">
        <v>2036967.0</v>
      </c>
      <c r="C1064" s="2">
        <v>29438.0</v>
      </c>
      <c r="D1064" s="2">
        <f>_xlfn.IFERROR(B1064-B1063,0)</f>
        <v>19.0</v>
      </c>
      <c r="E1064" s="2">
        <f>_xlfn.IFERROR(C1064-C1063,0)</f>
        <v>0.0</v>
      </c>
      <c r="F1064" s="1">
        <f>INT((A1064-DATE(2020,1,22))/7)+1</f>
        <v>152.0</v>
      </c>
      <c r="G1064" s="1" t="str">
        <f>"Week_"&amp;F1064</f>
        <v>Week_152</v>
      </c>
    </row>
    <row r="1065" spans="8:8" ht="15.1">
      <c r="A1065" s="3">
        <v>44915.0</v>
      </c>
      <c r="B1065" s="2">
        <v>2036987.0</v>
      </c>
      <c r="C1065" s="2">
        <v>29438.0</v>
      </c>
      <c r="D1065" s="2">
        <f>_xlfn.IFERROR(B1065-B1064,0)</f>
        <v>20.0</v>
      </c>
      <c r="E1065" s="2">
        <f>_xlfn.IFERROR(C1065-C1064,0)</f>
        <v>0.0</v>
      </c>
      <c r="F1065" s="1">
        <f>INT((A1065-DATE(2020,1,22))/7)+1</f>
        <v>152.0</v>
      </c>
      <c r="G1065" s="1" t="str">
        <f>"Week_"&amp;F1065</f>
        <v>Week_152</v>
      </c>
    </row>
    <row r="1066" spans="8:8" ht="15.1">
      <c r="A1066" s="3">
        <v>44916.0</v>
      </c>
      <c r="B1066" s="2">
        <v>2037003.0</v>
      </c>
      <c r="C1066" s="2">
        <v>29438.0</v>
      </c>
      <c r="D1066" s="2">
        <f>_xlfn.IFERROR(B1066-B1065,0)</f>
        <v>16.0</v>
      </c>
      <c r="E1066" s="2">
        <f>_xlfn.IFERROR(C1066-C1065,0)</f>
        <v>0.0</v>
      </c>
      <c r="F1066" s="1">
        <f>INT((A1066-DATE(2020,1,22))/7)+1</f>
        <v>153.0</v>
      </c>
      <c r="G1066" s="1" t="str">
        <f>"Week_"&amp;F1066</f>
        <v>Week_153</v>
      </c>
    </row>
    <row r="1067" spans="8:8" ht="15.1">
      <c r="A1067" s="3">
        <v>44917.0</v>
      </c>
      <c r="B1067" s="2">
        <v>2037011.0</v>
      </c>
      <c r="C1067" s="2">
        <v>29438.0</v>
      </c>
      <c r="D1067" s="2">
        <f>_xlfn.IFERROR(B1067-B1066,0)</f>
        <v>8.0</v>
      </c>
      <c r="E1067" s="2">
        <f>_xlfn.IFERROR(C1067-C1066,0)</f>
        <v>0.0</v>
      </c>
      <c r="F1067" s="1">
        <f>INT((A1067-DATE(2020,1,22))/7)+1</f>
        <v>153.0</v>
      </c>
      <c r="G1067" s="1" t="str">
        <f>"Week_"&amp;F1067</f>
        <v>Week_153</v>
      </c>
    </row>
    <row r="1068" spans="8:8" ht="15.1">
      <c r="A1068" s="3">
        <v>44918.0</v>
      </c>
      <c r="B1068" s="2">
        <v>2037018.0</v>
      </c>
      <c r="C1068" s="2">
        <v>29438.0</v>
      </c>
      <c r="D1068" s="2">
        <f>_xlfn.IFERROR(B1068-B1067,0)</f>
        <v>7.0</v>
      </c>
      <c r="E1068" s="2">
        <f>_xlfn.IFERROR(C1068-C1067,0)</f>
        <v>0.0</v>
      </c>
      <c r="F1068" s="1">
        <f>INT((A1068-DATE(2020,1,22))/7)+1</f>
        <v>153.0</v>
      </c>
      <c r="G1068" s="1" t="str">
        <f>"Week_"&amp;F1068</f>
        <v>Week_153</v>
      </c>
    </row>
    <row r="1069" spans="8:8" ht="15.1">
      <c r="A1069" s="3">
        <v>44919.0</v>
      </c>
      <c r="B1069" s="2">
        <v>2037024.0</v>
      </c>
      <c r="C1069" s="2">
        <v>29439.0</v>
      </c>
      <c r="D1069" s="2">
        <f>_xlfn.IFERROR(B1069-B1068,0)</f>
        <v>6.0</v>
      </c>
      <c r="E1069" s="2">
        <f>_xlfn.IFERROR(C1069-C1068,0)</f>
        <v>1.0</v>
      </c>
      <c r="F1069" s="1">
        <f>INT((A1069-DATE(2020,1,22))/7)+1</f>
        <v>153.0</v>
      </c>
      <c r="G1069" s="1" t="str">
        <f>"Week_"&amp;F1069</f>
        <v>Week_153</v>
      </c>
    </row>
    <row r="1070" spans="8:8" ht="15.1">
      <c r="A1070" s="3">
        <v>44920.0</v>
      </c>
      <c r="B1070" s="2">
        <v>2037031.0</v>
      </c>
      <c r="C1070" s="2">
        <v>29439.0</v>
      </c>
      <c r="D1070" s="2">
        <f>_xlfn.IFERROR(B1070-B1069,0)</f>
        <v>7.0</v>
      </c>
      <c r="E1070" s="2">
        <f>_xlfn.IFERROR(C1070-C1069,0)</f>
        <v>0.0</v>
      </c>
      <c r="F1070" s="1">
        <f>INT((A1070-DATE(2020,1,22))/7)+1</f>
        <v>153.0</v>
      </c>
      <c r="G1070" s="1" t="str">
        <f>"Week_"&amp;F1070</f>
        <v>Week_153</v>
      </c>
    </row>
    <row r="1071" spans="8:8" ht="15.1">
      <c r="A1071" s="3">
        <v>44921.0</v>
      </c>
      <c r="B1071" s="2">
        <v>2037046.0</v>
      </c>
      <c r="C1071" s="2">
        <v>29439.0</v>
      </c>
      <c r="D1071" s="2">
        <f>_xlfn.IFERROR(B1071-B1070,0)</f>
        <v>15.0</v>
      </c>
      <c r="E1071" s="2">
        <f>_xlfn.IFERROR(C1071-C1070,0)</f>
        <v>0.0</v>
      </c>
      <c r="F1071" s="1">
        <f>INT((A1071-DATE(2020,1,22))/7)+1</f>
        <v>153.0</v>
      </c>
      <c r="G1071" s="1" t="str">
        <f>"Week_"&amp;F1071</f>
        <v>Week_153</v>
      </c>
    </row>
    <row r="1072" spans="8:8" ht="15.1">
      <c r="A1072" s="3">
        <v>44922.0</v>
      </c>
      <c r="B1072" s="2">
        <v>2037067.0</v>
      </c>
      <c r="C1072" s="2">
        <v>29439.0</v>
      </c>
      <c r="D1072" s="2">
        <f>_xlfn.IFERROR(B1072-B1071,0)</f>
        <v>21.0</v>
      </c>
      <c r="E1072" s="2">
        <f>_xlfn.IFERROR(C1072-C1071,0)</f>
        <v>0.0</v>
      </c>
      <c r="F1072" s="1">
        <f>INT((A1072-DATE(2020,1,22))/7)+1</f>
        <v>153.0</v>
      </c>
      <c r="G1072" s="1" t="str">
        <f>"Week_"&amp;F1072</f>
        <v>Week_153</v>
      </c>
    </row>
    <row r="1073" spans="8:8" ht="15.1">
      <c r="A1073" s="3">
        <v>44923.0</v>
      </c>
      <c r="B1073" s="2">
        <v>2037067.0</v>
      </c>
      <c r="C1073" s="2">
        <v>29439.0</v>
      </c>
      <c r="D1073" s="2">
        <f>_xlfn.IFERROR(B1073-B1072,0)</f>
        <v>0.0</v>
      </c>
      <c r="E1073" s="2">
        <f>_xlfn.IFERROR(C1073-C1072,0)</f>
        <v>0.0</v>
      </c>
      <c r="F1073" s="1">
        <f>INT((A1073-DATE(2020,1,22))/7)+1</f>
        <v>154.0</v>
      </c>
      <c r="G1073" s="1" t="str">
        <f>"Week_"&amp;F1073</f>
        <v>Week_154</v>
      </c>
    </row>
    <row r="1074" spans="8:8" ht="15.1">
      <c r="A1074" s="3">
        <v>44924.0</v>
      </c>
      <c r="B1074" s="2">
        <v>2037102.0</v>
      </c>
      <c r="C1074" s="2">
        <v>29439.0</v>
      </c>
      <c r="D1074" s="2">
        <f>_xlfn.IFERROR(B1074-B1073,0)</f>
        <v>35.0</v>
      </c>
      <c r="E1074" s="2">
        <f>_xlfn.IFERROR(C1074-C1073,0)</f>
        <v>0.0</v>
      </c>
      <c r="F1074" s="1">
        <f>INT((A1074-DATE(2020,1,22))/7)+1</f>
        <v>154.0</v>
      </c>
      <c r="G1074" s="1" t="str">
        <f>"Week_"&amp;F1074</f>
        <v>Week_154</v>
      </c>
    </row>
    <row r="1075" spans="8:8" ht="15.1">
      <c r="A1075" s="3">
        <v>44925.0</v>
      </c>
      <c r="B1075" s="2">
        <v>2037125.0</v>
      </c>
      <c r="C1075" s="2">
        <v>29440.0</v>
      </c>
      <c r="D1075" s="2">
        <f>_xlfn.IFERROR(B1075-B1074,0)</f>
        <v>23.0</v>
      </c>
      <c r="E1075" s="2">
        <f>_xlfn.IFERROR(C1075-C1074,0)</f>
        <v>1.0</v>
      </c>
      <c r="F1075" s="1">
        <f>INT((A1075-DATE(2020,1,22))/7)+1</f>
        <v>154.0</v>
      </c>
      <c r="G1075" s="1" t="str">
        <f>"Week_"&amp;F1075</f>
        <v>Week_154</v>
      </c>
    </row>
    <row r="1076" spans="8:8" ht="15.1">
      <c r="A1076" s="3">
        <v>44926.0</v>
      </c>
      <c r="B1076" s="2">
        <v>2037125.0</v>
      </c>
      <c r="C1076" s="2">
        <v>29440.0</v>
      </c>
      <c r="D1076" s="2">
        <f>_xlfn.IFERROR(B1076-B1075,0)</f>
        <v>0.0</v>
      </c>
      <c r="E1076" s="2">
        <f>_xlfn.IFERROR(C1076-C1075,0)</f>
        <v>0.0</v>
      </c>
      <c r="F1076" s="1">
        <f>INT((A1076-DATE(2020,1,22))/7)+1</f>
        <v>154.0</v>
      </c>
      <c r="G1076" s="1" t="str">
        <f>"Week_"&amp;F1076</f>
        <v>Week_154</v>
      </c>
    </row>
    <row r="1077" spans="8:8" ht="15.1">
      <c r="A1077" s="3">
        <v>44927.0</v>
      </c>
      <c r="B1077" s="2">
        <v>2037156.0</v>
      </c>
      <c r="C1077" s="2">
        <v>29440.0</v>
      </c>
      <c r="D1077" s="2">
        <f>_xlfn.IFERROR(B1077-B1076,0)</f>
        <v>31.0</v>
      </c>
      <c r="E1077" s="2">
        <f>_xlfn.IFERROR(C1077-C1076,0)</f>
        <v>0.0</v>
      </c>
      <c r="F1077" s="1">
        <f>INT((A1077-DATE(2020,1,22))/7)+1</f>
        <v>154.0</v>
      </c>
      <c r="G1077" s="1" t="str">
        <f>"Week_"&amp;F1077</f>
        <v>Week_154</v>
      </c>
    </row>
    <row r="1078" spans="8:8" ht="15.1">
      <c r="A1078" s="3">
        <v>44928.0</v>
      </c>
      <c r="B1078" s="2">
        <v>2037187.0</v>
      </c>
      <c r="C1078" s="2">
        <v>29440.0</v>
      </c>
      <c r="D1078" s="2">
        <f>_xlfn.IFERROR(B1078-B1077,0)</f>
        <v>31.0</v>
      </c>
      <c r="E1078" s="2">
        <f>_xlfn.IFERROR(C1078-C1077,0)</f>
        <v>0.0</v>
      </c>
      <c r="F1078" s="1">
        <f>INT((A1078-DATE(2020,1,22))/7)+1</f>
        <v>154.0</v>
      </c>
      <c r="G1078" s="1" t="str">
        <f>"Week_"&amp;F1078</f>
        <v>Week_154</v>
      </c>
    </row>
    <row r="1079" spans="8:8" ht="15.1">
      <c r="A1079" s="3">
        <v>44929.0</v>
      </c>
      <c r="B1079" s="2">
        <v>2037208.0</v>
      </c>
      <c r="C1079" s="2">
        <v>29440.0</v>
      </c>
      <c r="D1079" s="2">
        <f>_xlfn.IFERROR(B1079-B1078,0)</f>
        <v>21.0</v>
      </c>
      <c r="E1079" s="2">
        <f>_xlfn.IFERROR(C1079-C1078,0)</f>
        <v>0.0</v>
      </c>
      <c r="F1079" s="1">
        <f>INT((A1079-DATE(2020,1,22))/7)+1</f>
        <v>154.0</v>
      </c>
      <c r="G1079" s="1" t="str">
        <f>"Week_"&amp;F1079</f>
        <v>Week_154</v>
      </c>
    </row>
    <row r="1080" spans="8:8" ht="15.1">
      <c r="A1080" s="3">
        <v>44930.0</v>
      </c>
      <c r="B1080" s="2">
        <v>2037230.0</v>
      </c>
      <c r="C1080" s="2">
        <v>29440.0</v>
      </c>
      <c r="D1080" s="2">
        <f>_xlfn.IFERROR(B1080-B1079,0)</f>
        <v>22.0</v>
      </c>
      <c r="E1080" s="2">
        <f>_xlfn.IFERROR(C1080-C1079,0)</f>
        <v>0.0</v>
      </c>
      <c r="F1080" s="1">
        <f>INT((A1080-DATE(2020,1,22))/7)+1</f>
        <v>155.0</v>
      </c>
      <c r="G1080" s="1" t="str">
        <f>"Week_"&amp;F1080</f>
        <v>Week_155</v>
      </c>
    </row>
    <row r="1081" spans="8:8" ht="15.1">
      <c r="A1081" s="3">
        <v>44931.0</v>
      </c>
      <c r="B1081" s="2">
        <v>2037240.0</v>
      </c>
      <c r="C1081" s="2">
        <v>29440.0</v>
      </c>
      <c r="D1081" s="2">
        <f>_xlfn.IFERROR(B1081-B1080,0)</f>
        <v>10.0</v>
      </c>
      <c r="E1081" s="2">
        <f>_xlfn.IFERROR(C1081-C1080,0)</f>
        <v>0.0</v>
      </c>
      <c r="F1081" s="1">
        <f>INT((A1081-DATE(2020,1,22))/7)+1</f>
        <v>155.0</v>
      </c>
      <c r="G1081" s="1" t="str">
        <f>"Week_"&amp;F1081</f>
        <v>Week_155</v>
      </c>
    </row>
    <row r="1082" spans="8:8" ht="15.1">
      <c r="A1082" s="3">
        <v>44932.0</v>
      </c>
      <c r="B1082" s="2">
        <v>2037250.0</v>
      </c>
      <c r="C1082" s="2">
        <v>29440.0</v>
      </c>
      <c r="D1082" s="2">
        <f>_xlfn.IFERROR(B1082-B1081,0)</f>
        <v>10.0</v>
      </c>
      <c r="E1082" s="2">
        <f>_xlfn.IFERROR(C1082-C1081,0)</f>
        <v>0.0</v>
      </c>
      <c r="F1082" s="1">
        <f>INT((A1082-DATE(2020,1,22))/7)+1</f>
        <v>155.0</v>
      </c>
      <c r="G1082" s="1" t="str">
        <f>"Week_"&amp;F1082</f>
        <v>Week_155</v>
      </c>
    </row>
    <row r="1083" spans="8:8" ht="15.1">
      <c r="A1083" s="3">
        <v>44933.0</v>
      </c>
      <c r="B1083" s="2">
        <v>2037267.0</v>
      </c>
      <c r="C1083" s="2">
        <v>29440.0</v>
      </c>
      <c r="D1083" s="2">
        <f>_xlfn.IFERROR(B1083-B1082,0)</f>
        <v>17.0</v>
      </c>
      <c r="E1083" s="2">
        <f>_xlfn.IFERROR(C1083-C1082,0)</f>
        <v>0.0</v>
      </c>
      <c r="F1083" s="1">
        <f>INT((A1083-DATE(2020,1,22))/7)+1</f>
        <v>155.0</v>
      </c>
      <c r="G1083" s="1" t="str">
        <f>"Week_"&amp;F1083</f>
        <v>Week_155</v>
      </c>
    </row>
    <row r="1084" spans="8:8" ht="15.1">
      <c r="A1084" s="3">
        <v>44934.0</v>
      </c>
      <c r="B1084" s="2">
        <v>2037284.0</v>
      </c>
      <c r="C1084" s="2">
        <v>29440.0</v>
      </c>
      <c r="D1084" s="2">
        <f>_xlfn.IFERROR(B1084-B1083,0)</f>
        <v>17.0</v>
      </c>
      <c r="E1084" s="2">
        <f>_xlfn.IFERROR(C1084-C1083,0)</f>
        <v>0.0</v>
      </c>
      <c r="F1084" s="1">
        <f>INT((A1084-DATE(2020,1,22))/7)+1</f>
        <v>155.0</v>
      </c>
      <c r="G1084" s="1" t="str">
        <f>"Week_"&amp;F1084</f>
        <v>Week_155</v>
      </c>
    </row>
    <row r="1085" spans="8:8" ht="15.1">
      <c r="A1085" s="3">
        <v>44935.0</v>
      </c>
      <c r="B1085" s="2">
        <v>2037305.0</v>
      </c>
      <c r="C1085" s="2">
        <v>29440.0</v>
      </c>
      <c r="D1085" s="2">
        <f>_xlfn.IFERROR(B1085-B1084,0)</f>
        <v>21.0</v>
      </c>
      <c r="E1085" s="2">
        <f>_xlfn.IFERROR(C1085-C1084,0)</f>
        <v>0.0</v>
      </c>
      <c r="F1085" s="1">
        <f>INT((A1085-DATE(2020,1,22))/7)+1</f>
        <v>155.0</v>
      </c>
      <c r="G1085" s="1" t="str">
        <f>"Week_"&amp;F1085</f>
        <v>Week_155</v>
      </c>
    </row>
    <row r="1086" spans="8:8" ht="15.1">
      <c r="A1086" s="3">
        <v>44936.0</v>
      </c>
      <c r="B1086" s="2">
        <v>2037327.0</v>
      </c>
      <c r="C1086" s="2">
        <v>29441.0</v>
      </c>
      <c r="D1086" s="2">
        <f>_xlfn.IFERROR(B1086-B1085,0)</f>
        <v>22.0</v>
      </c>
      <c r="E1086" s="2">
        <f>_xlfn.IFERROR(C1086-C1085,0)</f>
        <v>1.0</v>
      </c>
      <c r="F1086" s="1">
        <f>INT((A1086-DATE(2020,1,22))/7)+1</f>
        <v>155.0</v>
      </c>
      <c r="G1086" s="1" t="str">
        <f>"Week_"&amp;F1086</f>
        <v>Week_155</v>
      </c>
    </row>
    <row r="1087" spans="8:8" ht="15.1">
      <c r="A1087" s="3">
        <v>44937.0</v>
      </c>
      <c r="B1087" s="2">
        <v>2037331.0</v>
      </c>
      <c r="C1087" s="2">
        <v>29441.0</v>
      </c>
      <c r="D1087" s="2">
        <f>_xlfn.IFERROR(B1087-B1086,0)</f>
        <v>4.0</v>
      </c>
      <c r="E1087" s="2">
        <f>_xlfn.IFERROR(C1087-C1086,0)</f>
        <v>0.0</v>
      </c>
      <c r="F1087" s="1">
        <f>INT((A1087-DATE(2020,1,22))/7)+1</f>
        <v>156.0</v>
      </c>
      <c r="G1087" s="1" t="str">
        <f>"Week_"&amp;F1087</f>
        <v>Week_156</v>
      </c>
    </row>
    <row r="1088" spans="8:8" ht="15.1">
      <c r="A1088" s="3">
        <v>44938.0</v>
      </c>
      <c r="B1088" s="2">
        <v>2037331.0</v>
      </c>
      <c r="C1088" s="2">
        <v>29441.0</v>
      </c>
      <c r="D1088" s="2">
        <f>_xlfn.IFERROR(B1088-B1087,0)</f>
        <v>0.0</v>
      </c>
      <c r="E1088" s="2">
        <f>_xlfn.IFERROR(C1088-C1087,0)</f>
        <v>0.0</v>
      </c>
      <c r="F1088" s="1">
        <f>INT((A1088-DATE(2020,1,22))/7)+1</f>
        <v>156.0</v>
      </c>
      <c r="G1088" s="1" t="str">
        <f>"Week_"&amp;F1088</f>
        <v>Week_156</v>
      </c>
    </row>
    <row r="1089" spans="8:8" ht="15.1">
      <c r="A1089" s="3">
        <v>44939.0</v>
      </c>
      <c r="B1089" s="2">
        <v>2037356.0</v>
      </c>
      <c r="C1089" s="2">
        <v>29441.0</v>
      </c>
      <c r="D1089" s="2">
        <f>_xlfn.IFERROR(B1089-B1088,0)</f>
        <v>25.0</v>
      </c>
      <c r="E1089" s="2">
        <f>_xlfn.IFERROR(C1089-C1088,0)</f>
        <v>0.0</v>
      </c>
      <c r="F1089" s="1">
        <f>INT((A1089-DATE(2020,1,22))/7)+1</f>
        <v>156.0</v>
      </c>
      <c r="G1089" s="1" t="str">
        <f>"Week_"&amp;F1089</f>
        <v>Week_156</v>
      </c>
    </row>
    <row r="1090" spans="8:8" ht="15.1">
      <c r="A1090" s="3">
        <v>44940.0</v>
      </c>
      <c r="B1090" s="2">
        <v>2037368.0</v>
      </c>
      <c r="C1090" s="2">
        <v>29441.0</v>
      </c>
      <c r="D1090" s="2">
        <f>_xlfn.IFERROR(B1090-B1089,0)</f>
        <v>12.0</v>
      </c>
      <c r="E1090" s="2">
        <f>_xlfn.IFERROR(C1090-C1089,0)</f>
        <v>0.0</v>
      </c>
      <c r="F1090" s="1">
        <f>INT((A1090-DATE(2020,1,22))/7)+1</f>
        <v>156.0</v>
      </c>
      <c r="G1090" s="1" t="str">
        <f>"Week_"&amp;F1090</f>
        <v>Week_156</v>
      </c>
    </row>
    <row r="1091" spans="8:8" ht="15.1">
      <c r="A1091" s="3">
        <v>44941.0</v>
      </c>
      <c r="B1091" s="2">
        <v>2037377.0</v>
      </c>
      <c r="C1091" s="2">
        <v>29441.0</v>
      </c>
      <c r="D1091" s="2">
        <f>_xlfn.IFERROR(B1091-B1090,0)</f>
        <v>9.0</v>
      </c>
      <c r="E1091" s="2">
        <f>_xlfn.IFERROR(C1091-C1090,0)</f>
        <v>0.0</v>
      </c>
      <c r="F1091" s="1">
        <f>INT((A1091-DATE(2020,1,22))/7)+1</f>
        <v>156.0</v>
      </c>
      <c r="G1091" s="1" t="str">
        <f>"Week_"&amp;F1091</f>
        <v>Week_156</v>
      </c>
    </row>
    <row r="1092" spans="8:8" ht="15.1">
      <c r="A1092" s="3">
        <v>44942.0</v>
      </c>
      <c r="B1092" s="2">
        <v>2037386.0</v>
      </c>
      <c r="C1092" s="2">
        <v>29441.0</v>
      </c>
      <c r="D1092" s="2">
        <f>_xlfn.IFERROR(B1092-B1091,0)</f>
        <v>9.0</v>
      </c>
      <c r="E1092" s="2">
        <f>_xlfn.IFERROR(C1092-C1091,0)</f>
        <v>0.0</v>
      </c>
      <c r="F1092" s="1">
        <f>INT((A1092-DATE(2020,1,22))/7)+1</f>
        <v>156.0</v>
      </c>
      <c r="G1092" s="1" t="str">
        <f>"Week_"&amp;F1092</f>
        <v>Week_156</v>
      </c>
    </row>
    <row r="1093" spans="8:8" ht="15.1">
      <c r="A1093" s="3">
        <v>44943.0</v>
      </c>
      <c r="B1093" s="2">
        <v>2037399.0</v>
      </c>
      <c r="C1093" s="2">
        <v>29441.0</v>
      </c>
      <c r="D1093" s="2">
        <f>_xlfn.IFERROR(B1093-B1092,0)</f>
        <v>13.0</v>
      </c>
      <c r="E1093" s="2">
        <f>_xlfn.IFERROR(C1093-C1092,0)</f>
        <v>0.0</v>
      </c>
      <c r="F1093" s="1">
        <f>INT((A1093-DATE(2020,1,22))/7)+1</f>
        <v>156.0</v>
      </c>
      <c r="G1093" s="1" t="str">
        <f>"Week_"&amp;F1093</f>
        <v>Week_156</v>
      </c>
    </row>
    <row r="1094" spans="8:8" ht="15.1">
      <c r="A1094" s="3">
        <v>44944.0</v>
      </c>
      <c r="B1094" s="2">
        <v>2037408.0</v>
      </c>
      <c r="C1094" s="2">
        <v>29441.0</v>
      </c>
      <c r="D1094" s="2">
        <f>_xlfn.IFERROR(B1094-B1093,0)</f>
        <v>9.0</v>
      </c>
      <c r="E1094" s="2">
        <f>_xlfn.IFERROR(C1094-C1093,0)</f>
        <v>0.0</v>
      </c>
      <c r="F1094" s="1">
        <f>INT((A1094-DATE(2020,1,22))/7)+1</f>
        <v>157.0</v>
      </c>
      <c r="G1094" s="1" t="str">
        <f>"Week_"&amp;F1094</f>
        <v>Week_157</v>
      </c>
    </row>
    <row r="1095" spans="8:8" ht="15.1">
      <c r="A1095" s="3">
        <v>44945.0</v>
      </c>
      <c r="B1095" s="2">
        <v>2037408.0</v>
      </c>
      <c r="C1095" s="2">
        <v>29441.0</v>
      </c>
      <c r="D1095" s="2">
        <f>_xlfn.IFERROR(B1095-B1094,0)</f>
        <v>0.0</v>
      </c>
      <c r="E1095" s="2">
        <f>_xlfn.IFERROR(C1095-C1094,0)</f>
        <v>0.0</v>
      </c>
      <c r="F1095" s="1">
        <f>INT((A1095-DATE(2020,1,22))/7)+1</f>
        <v>157.0</v>
      </c>
      <c r="G1095" s="1" t="str">
        <f>"Week_"&amp;F1095</f>
        <v>Week_157</v>
      </c>
    </row>
    <row r="1096" spans="8:8" ht="15.1">
      <c r="A1096" s="3">
        <v>44946.0</v>
      </c>
      <c r="B1096" s="2">
        <v>2037408.0</v>
      </c>
      <c r="C1096" s="2">
        <v>29441.0</v>
      </c>
      <c r="D1096" s="2">
        <f>_xlfn.IFERROR(B1096-B1095,0)</f>
        <v>0.0</v>
      </c>
      <c r="E1096" s="2">
        <f>_xlfn.IFERROR(C1096-C1095,0)</f>
        <v>0.0</v>
      </c>
      <c r="F1096" s="1">
        <f>INT((A1096-DATE(2020,1,22))/7)+1</f>
        <v>157.0</v>
      </c>
      <c r="G1096" s="1" t="str">
        <f>"Week_"&amp;F1096</f>
        <v>Week_157</v>
      </c>
    </row>
    <row r="1097" spans="8:8" ht="15.1">
      <c r="A1097" s="3">
        <v>44947.0</v>
      </c>
      <c r="B1097" s="2">
        <v>2037408.0</v>
      </c>
      <c r="C1097" s="2">
        <v>29441.0</v>
      </c>
      <c r="D1097" s="2">
        <f>_xlfn.IFERROR(B1097-B1096,0)</f>
        <v>0.0</v>
      </c>
      <c r="E1097" s="2">
        <f>_xlfn.IFERROR(C1097-C1096,0)</f>
        <v>0.0</v>
      </c>
      <c r="F1097" s="1">
        <f>INT((A1097-DATE(2020,1,22))/7)+1</f>
        <v>157.0</v>
      </c>
      <c r="G1097" s="1" t="str">
        <f>"Week_"&amp;F1097</f>
        <v>Week_157</v>
      </c>
    </row>
    <row r="1098" spans="8:8" ht="15.1">
      <c r="A1098" s="3">
        <v>44948.0</v>
      </c>
      <c r="B1098" s="2">
        <v>2037456.0</v>
      </c>
      <c r="C1098" s="2">
        <v>29441.0</v>
      </c>
      <c r="D1098" s="2">
        <f>_xlfn.IFERROR(B1098-B1097,0)</f>
        <v>48.0</v>
      </c>
      <c r="E1098" s="2">
        <f>_xlfn.IFERROR(C1098-C1097,0)</f>
        <v>0.0</v>
      </c>
      <c r="F1098" s="1">
        <f>INT((A1098-DATE(2020,1,22))/7)+1</f>
        <v>157.0</v>
      </c>
      <c r="G1098" s="1" t="str">
        <f>"Week_"&amp;F1098</f>
        <v>Week_157</v>
      </c>
    </row>
    <row r="1099" spans="8:8" ht="15.1">
      <c r="A1099" s="3">
        <v>44949.0</v>
      </c>
      <c r="B1099" s="2">
        <v>2037469.0</v>
      </c>
      <c r="C1099" s="2">
        <v>29441.0</v>
      </c>
      <c r="D1099" s="2">
        <f>_xlfn.IFERROR(B1099-B1098,0)</f>
        <v>13.0</v>
      </c>
      <c r="E1099" s="2">
        <f>_xlfn.IFERROR(C1099-C1098,0)</f>
        <v>0.0</v>
      </c>
      <c r="F1099" s="1">
        <f>INT((A1099-DATE(2020,1,22))/7)+1</f>
        <v>157.0</v>
      </c>
      <c r="G1099" s="1" t="str">
        <f>"Week_"&amp;F1099</f>
        <v>Week_157</v>
      </c>
    </row>
    <row r="1100" spans="8:8" ht="15.1">
      <c r="A1100" s="3">
        <v>44950.0</v>
      </c>
      <c r="B1100" s="2">
        <v>2037478.0</v>
      </c>
      <c r="C1100" s="2">
        <v>29441.0</v>
      </c>
      <c r="D1100" s="2">
        <f>_xlfn.IFERROR(B1100-B1099,0)</f>
        <v>9.0</v>
      </c>
      <c r="E1100" s="2">
        <f>_xlfn.IFERROR(C1100-C1099,0)</f>
        <v>0.0</v>
      </c>
      <c r="F1100" s="1">
        <f>INT((A1100-DATE(2020,1,22))/7)+1</f>
        <v>157.0</v>
      </c>
      <c r="G1100" s="1" t="str">
        <f>"Week_"&amp;F1100</f>
        <v>Week_157</v>
      </c>
    </row>
    <row r="1101" spans="8:8" ht="15.1">
      <c r="A1101" s="3">
        <v>44951.0</v>
      </c>
      <c r="B1101" s="2">
        <v>2037478.0</v>
      </c>
      <c r="C1101" s="2">
        <v>29441.0</v>
      </c>
      <c r="D1101" s="2">
        <f>_xlfn.IFERROR(B1101-B1100,0)</f>
        <v>0.0</v>
      </c>
      <c r="E1101" s="2">
        <f>_xlfn.IFERROR(C1101-C1100,0)</f>
        <v>0.0</v>
      </c>
      <c r="F1101" s="1">
        <f>INT((A1101-DATE(2020,1,22))/7)+1</f>
        <v>158.0</v>
      </c>
      <c r="G1101" s="1" t="str">
        <f>"Week_"&amp;F1101</f>
        <v>Week_158</v>
      </c>
    </row>
    <row r="1102" spans="8:8" ht="15.1">
      <c r="A1102" s="3">
        <v>44952.0</v>
      </c>
      <c r="B1102" s="2">
        <v>2037478.0</v>
      </c>
      <c r="C1102" s="2">
        <v>29441.0</v>
      </c>
      <c r="D1102" s="2">
        <f>_xlfn.IFERROR(B1102-B1101,0)</f>
        <v>0.0</v>
      </c>
      <c r="E1102" s="2">
        <f>_xlfn.IFERROR(C1102-C1101,0)</f>
        <v>0.0</v>
      </c>
      <c r="F1102" s="1">
        <f>INT((A1102-DATE(2020,1,22))/7)+1</f>
        <v>158.0</v>
      </c>
      <c r="G1102" s="1" t="str">
        <f>"Week_"&amp;F1102</f>
        <v>Week_158</v>
      </c>
    </row>
    <row r="1103" spans="8:8" ht="15.1">
      <c r="A1103" s="3">
        <v>44953.0</v>
      </c>
      <c r="B1103" s="2">
        <v>2037506.0</v>
      </c>
      <c r="C1103" s="2">
        <v>29441.0</v>
      </c>
      <c r="D1103" s="2">
        <f>_xlfn.IFERROR(B1103-B1102,0)</f>
        <v>28.0</v>
      </c>
      <c r="E1103" s="2">
        <f>_xlfn.IFERROR(C1103-C1102,0)</f>
        <v>0.0</v>
      </c>
      <c r="F1103" s="1">
        <f>INT((A1103-DATE(2020,1,22))/7)+1</f>
        <v>158.0</v>
      </c>
      <c r="G1103" s="1" t="str">
        <f>"Week_"&amp;F1103</f>
        <v>Week_158</v>
      </c>
    </row>
    <row r="1104" spans="8:8" ht="15.1">
      <c r="A1104" s="3">
        <v>44954.0</v>
      </c>
      <c r="B1104" s="2">
        <v>2037506.0</v>
      </c>
      <c r="C1104" s="2">
        <v>29441.0</v>
      </c>
      <c r="D1104" s="2">
        <f>_xlfn.IFERROR(B1104-B1103,0)</f>
        <v>0.0</v>
      </c>
      <c r="E1104" s="2">
        <f>_xlfn.IFERROR(C1104-C1103,0)</f>
        <v>0.0</v>
      </c>
      <c r="F1104" s="1">
        <f>INT((A1104-DATE(2020,1,22))/7)+1</f>
        <v>158.0</v>
      </c>
      <c r="G1104" s="1" t="str">
        <f>"Week_"&amp;F1104</f>
        <v>Week_158</v>
      </c>
    </row>
    <row r="1105" spans="8:8" ht="15.1">
      <c r="A1105" s="3">
        <v>44955.0</v>
      </c>
      <c r="B1105" s="2">
        <v>2037543.0</v>
      </c>
      <c r="C1105" s="2">
        <v>29442.0</v>
      </c>
      <c r="D1105" s="2">
        <f>_xlfn.IFERROR(B1105-B1104,0)</f>
        <v>37.0</v>
      </c>
      <c r="E1105" s="2">
        <f>_xlfn.IFERROR(C1105-C1104,0)</f>
        <v>1.0</v>
      </c>
      <c r="F1105" s="1">
        <f>INT((A1105-DATE(2020,1,22))/7)+1</f>
        <v>158.0</v>
      </c>
      <c r="G1105" s="1" t="str">
        <f>"Week_"&amp;F1105</f>
        <v>Week_158</v>
      </c>
    </row>
    <row r="1106" spans="8:8" ht="15.1">
      <c r="A1106" s="3">
        <v>44956.0</v>
      </c>
      <c r="B1106" s="2">
        <v>2037556.0</v>
      </c>
      <c r="C1106" s="2">
        <v>29442.0</v>
      </c>
      <c r="D1106" s="2">
        <f>_xlfn.IFERROR(B1106-B1105,0)</f>
        <v>13.0</v>
      </c>
      <c r="E1106" s="2">
        <f>_xlfn.IFERROR(C1106-C1105,0)</f>
        <v>0.0</v>
      </c>
      <c r="F1106" s="1">
        <f>INT((A1106-DATE(2020,1,22))/7)+1</f>
        <v>158.0</v>
      </c>
      <c r="G1106" s="1" t="str">
        <f>"Week_"&amp;F1106</f>
        <v>Week_158</v>
      </c>
    </row>
    <row r="1107" spans="8:8" ht="15.1">
      <c r="A1107" s="3">
        <v>44957.0</v>
      </c>
      <c r="B1107" s="2">
        <v>2037568.0</v>
      </c>
      <c r="C1107" s="2">
        <v>29442.0</v>
      </c>
      <c r="D1107" s="2">
        <f>_xlfn.IFERROR(B1107-B1106,0)</f>
        <v>12.0</v>
      </c>
      <c r="E1107" s="2">
        <f>_xlfn.IFERROR(C1107-C1106,0)</f>
        <v>0.0</v>
      </c>
      <c r="F1107" s="1">
        <f>INT((A1107-DATE(2020,1,22))/7)+1</f>
        <v>158.0</v>
      </c>
      <c r="G1107" s="1" t="str">
        <f>"Week_"&amp;F1107</f>
        <v>Week_158</v>
      </c>
    </row>
    <row r="1108" spans="8:8" ht="15.1">
      <c r="A1108" s="3">
        <v>44958.0</v>
      </c>
      <c r="B1108" s="2">
        <v>2037578.0</v>
      </c>
      <c r="C1108" s="2">
        <v>29442.0</v>
      </c>
      <c r="D1108" s="2">
        <f>_xlfn.IFERROR(B1108-B1107,0)</f>
        <v>10.0</v>
      </c>
      <c r="E1108" s="2">
        <f>_xlfn.IFERROR(C1108-C1107,0)</f>
        <v>0.0</v>
      </c>
      <c r="F1108" s="1">
        <f>INT((A1108-DATE(2020,1,22))/7)+1</f>
        <v>159.0</v>
      </c>
      <c r="G1108" s="1" t="str">
        <f>"Week_"&amp;F1108</f>
        <v>Week_159</v>
      </c>
    </row>
    <row r="1109" spans="8:8" ht="15.1">
      <c r="A1109" s="3">
        <v>44959.0</v>
      </c>
      <c r="B1109" s="2">
        <v>2037588.0</v>
      </c>
      <c r="C1109" s="2">
        <v>29443.0</v>
      </c>
      <c r="D1109" s="2">
        <f>_xlfn.IFERROR(B1109-B1108,0)</f>
        <v>10.0</v>
      </c>
      <c r="E1109" s="2">
        <f>_xlfn.IFERROR(C1109-C1108,0)</f>
        <v>1.0</v>
      </c>
      <c r="F1109" s="1">
        <f>INT((A1109-DATE(2020,1,22))/7)+1</f>
        <v>159.0</v>
      </c>
      <c r="G1109" s="1" t="str">
        <f>"Week_"&amp;F1109</f>
        <v>Week_159</v>
      </c>
    </row>
    <row r="1110" spans="8:8" ht="15.1">
      <c r="A1110" s="3">
        <v>44960.0</v>
      </c>
      <c r="B1110" s="2">
        <v>2037588.0</v>
      </c>
      <c r="C1110" s="2">
        <v>29443.0</v>
      </c>
      <c r="D1110" s="2">
        <f>_xlfn.IFERROR(B1110-B1109,0)</f>
        <v>0.0</v>
      </c>
      <c r="E1110" s="2">
        <f>_xlfn.IFERROR(C1110-C1109,0)</f>
        <v>0.0</v>
      </c>
      <c r="F1110" s="1">
        <f>INT((A1110-DATE(2020,1,22))/7)+1</f>
        <v>159.0</v>
      </c>
      <c r="G1110" s="1" t="str">
        <f>"Week_"&amp;F1110</f>
        <v>Week_159</v>
      </c>
    </row>
    <row r="1111" spans="8:8" ht="15.1">
      <c r="A1111" s="3">
        <v>44961.0</v>
      </c>
      <c r="B1111" s="2">
        <v>2037588.0</v>
      </c>
      <c r="C1111" s="2">
        <v>29443.0</v>
      </c>
      <c r="D1111" s="2">
        <f>_xlfn.IFERROR(B1111-B1110,0)</f>
        <v>0.0</v>
      </c>
      <c r="E1111" s="2">
        <f>_xlfn.IFERROR(C1111-C1110,0)</f>
        <v>0.0</v>
      </c>
      <c r="F1111" s="1">
        <f>INT((A1111-DATE(2020,1,22))/7)+1</f>
        <v>159.0</v>
      </c>
      <c r="G1111" s="1" t="str">
        <f>"Week_"&amp;F1111</f>
        <v>Week_159</v>
      </c>
    </row>
    <row r="1112" spans="8:8" ht="15.1">
      <c r="A1112" s="3">
        <v>44962.0</v>
      </c>
      <c r="B1112" s="2">
        <v>2037622.0</v>
      </c>
      <c r="C1112" s="2">
        <v>29443.0</v>
      </c>
      <c r="D1112" s="2">
        <f>_xlfn.IFERROR(B1112-B1111,0)</f>
        <v>34.0</v>
      </c>
      <c r="E1112" s="2">
        <f>_xlfn.IFERROR(C1112-C1111,0)</f>
        <v>0.0</v>
      </c>
      <c r="F1112" s="1">
        <f>INT((A1112-DATE(2020,1,22))/7)+1</f>
        <v>159.0</v>
      </c>
      <c r="G1112" s="1" t="str">
        <f>"Week_"&amp;F1112</f>
        <v>Week_159</v>
      </c>
    </row>
    <row r="1113" spans="8:8" ht="15.1">
      <c r="A1113" s="3">
        <v>44963.0</v>
      </c>
      <c r="B1113" s="2">
        <v>2037622.0</v>
      </c>
      <c r="C1113" s="2">
        <v>29443.0</v>
      </c>
      <c r="D1113" s="2">
        <f>_xlfn.IFERROR(B1113-B1112,0)</f>
        <v>0.0</v>
      </c>
      <c r="E1113" s="2">
        <f>_xlfn.IFERROR(C1113-C1112,0)</f>
        <v>0.0</v>
      </c>
      <c r="F1113" s="1">
        <f>INT((A1113-DATE(2020,1,22))/7)+1</f>
        <v>159.0</v>
      </c>
      <c r="G1113" s="1" t="str">
        <f>"Week_"&amp;F1113</f>
        <v>Week_159</v>
      </c>
    </row>
    <row r="1114" spans="8:8" ht="15.1">
      <c r="A1114" s="3">
        <v>44964.0</v>
      </c>
      <c r="B1114" s="2">
        <v>2037647.0</v>
      </c>
      <c r="C1114" s="2">
        <v>29444.0</v>
      </c>
      <c r="D1114" s="2">
        <f>_xlfn.IFERROR(B1114-B1113,0)</f>
        <v>25.0</v>
      </c>
      <c r="E1114" s="2">
        <f>_xlfn.IFERROR(C1114-C1113,0)</f>
        <v>1.0</v>
      </c>
      <c r="F1114" s="1">
        <f>INT((A1114-DATE(2020,1,22))/7)+1</f>
        <v>159.0</v>
      </c>
      <c r="G1114" s="1" t="str">
        <f>"Week_"&amp;F1114</f>
        <v>Week_159</v>
      </c>
    </row>
    <row r="1115" spans="8:8" ht="15.1">
      <c r="A1115" s="3">
        <v>44965.0</v>
      </c>
      <c r="B1115" s="2">
        <v>2037655.0</v>
      </c>
      <c r="C1115" s="2">
        <v>29444.0</v>
      </c>
      <c r="D1115" s="2">
        <f>_xlfn.IFERROR(B1115-B1114,0)</f>
        <v>8.0</v>
      </c>
      <c r="E1115" s="2">
        <f>_xlfn.IFERROR(C1115-C1114,0)</f>
        <v>0.0</v>
      </c>
      <c r="F1115" s="1">
        <f>INT((A1115-DATE(2020,1,22))/7)+1</f>
        <v>160.0</v>
      </c>
      <c r="G1115" s="1" t="str">
        <f>"Week_"&amp;F1115</f>
        <v>Week_160</v>
      </c>
    </row>
    <row r="1116" spans="8:8" ht="15.1">
      <c r="A1116" s="3">
        <v>44966.0</v>
      </c>
      <c r="B1116" s="2">
        <v>2037664.0</v>
      </c>
      <c r="C1116" s="2">
        <v>29444.0</v>
      </c>
      <c r="D1116" s="2">
        <f>_xlfn.IFERROR(B1116-B1115,0)</f>
        <v>9.0</v>
      </c>
      <c r="E1116" s="2">
        <f>_xlfn.IFERROR(C1116-C1115,0)</f>
        <v>0.0</v>
      </c>
      <c r="F1116" s="1">
        <f>INT((A1116-DATE(2020,1,22))/7)+1</f>
        <v>160.0</v>
      </c>
      <c r="G1116" s="1" t="str">
        <f>"Week_"&amp;F1116</f>
        <v>Week_160</v>
      </c>
    </row>
    <row r="1117" spans="8:8" ht="15.1">
      <c r="A1117" s="3">
        <v>44967.0</v>
      </c>
      <c r="B1117" s="2">
        <v>2037664.0</v>
      </c>
      <c r="C1117" s="2">
        <v>29444.0</v>
      </c>
      <c r="D1117" s="2">
        <f>_xlfn.IFERROR(B1117-B1116,0)</f>
        <v>0.0</v>
      </c>
      <c r="E1117" s="2">
        <f>_xlfn.IFERROR(C1117-C1116,0)</f>
        <v>0.0</v>
      </c>
      <c r="F1117" s="1">
        <f>INT((A1117-DATE(2020,1,22))/7)+1</f>
        <v>160.0</v>
      </c>
      <c r="G1117" s="1" t="str">
        <f>"Week_"&amp;F1117</f>
        <v>Week_160</v>
      </c>
    </row>
    <row r="1118" spans="8:8" ht="15.1">
      <c r="A1118" s="3">
        <v>44968.0</v>
      </c>
      <c r="B1118" s="2">
        <v>2037679.0</v>
      </c>
      <c r="C1118" s="2">
        <v>29444.0</v>
      </c>
      <c r="D1118" s="2">
        <f>_xlfn.IFERROR(B1118-B1117,0)</f>
        <v>15.0</v>
      </c>
      <c r="E1118" s="2">
        <f>_xlfn.IFERROR(C1118-C1117,0)</f>
        <v>0.0</v>
      </c>
      <c r="F1118" s="1">
        <f>INT((A1118-DATE(2020,1,22))/7)+1</f>
        <v>160.0</v>
      </c>
      <c r="G1118" s="1" t="str">
        <f>"Week_"&amp;F1118</f>
        <v>Week_160</v>
      </c>
    </row>
    <row r="1119" spans="8:8" ht="15.1">
      <c r="A1119" s="3">
        <v>44969.0</v>
      </c>
      <c r="B1119" s="2">
        <v>2037688.0</v>
      </c>
      <c r="C1119" s="2">
        <v>29445.0</v>
      </c>
      <c r="D1119" s="2">
        <f>_xlfn.IFERROR(B1119-B1118,0)</f>
        <v>9.0</v>
      </c>
      <c r="E1119" s="2">
        <f>_xlfn.IFERROR(C1119-C1118,0)</f>
        <v>1.0</v>
      </c>
      <c r="F1119" s="1">
        <f>INT((A1119-DATE(2020,1,22))/7)+1</f>
        <v>160.0</v>
      </c>
      <c r="G1119" s="1" t="str">
        <f>"Week_"&amp;F1119</f>
        <v>Week_160</v>
      </c>
    </row>
    <row r="1120" spans="8:8" ht="15.1">
      <c r="A1120" s="3">
        <v>44970.0</v>
      </c>
      <c r="B1120" s="2">
        <v>2037703.0</v>
      </c>
      <c r="C1120" s="2">
        <v>29445.0</v>
      </c>
      <c r="D1120" s="2">
        <f>_xlfn.IFERROR(B1120-B1119,0)</f>
        <v>15.0</v>
      </c>
      <c r="E1120" s="2">
        <f>_xlfn.IFERROR(C1120-C1119,0)</f>
        <v>0.0</v>
      </c>
      <c r="F1120" s="1">
        <f>INT((A1120-DATE(2020,1,22))/7)+1</f>
        <v>160.0</v>
      </c>
      <c r="G1120" s="1" t="str">
        <f>"Week_"&amp;F1120</f>
        <v>Week_160</v>
      </c>
    </row>
    <row r="1121" spans="8:8" ht="15.1">
      <c r="A1121" s="3">
        <v>44971.0</v>
      </c>
      <c r="B1121" s="2">
        <v>2037716.0</v>
      </c>
      <c r="C1121" s="2">
        <v>29445.0</v>
      </c>
      <c r="D1121" s="2">
        <f>_xlfn.IFERROR(B1121-B1120,0)</f>
        <v>13.0</v>
      </c>
      <c r="E1121" s="2">
        <f>_xlfn.IFERROR(C1121-C1120,0)</f>
        <v>0.0</v>
      </c>
      <c r="F1121" s="1">
        <f>INT((A1121-DATE(2020,1,22))/7)+1</f>
        <v>160.0</v>
      </c>
      <c r="G1121" s="1" t="str">
        <f>"Week_"&amp;F1121</f>
        <v>Week_160</v>
      </c>
    </row>
    <row r="1122" spans="8:8" ht="15.1">
      <c r="A1122" s="3">
        <v>44972.0</v>
      </c>
      <c r="B1122" s="2">
        <v>2037730.0</v>
      </c>
      <c r="C1122" s="2">
        <v>29445.0</v>
      </c>
      <c r="D1122" s="2">
        <f>_xlfn.IFERROR(B1122-B1121,0)</f>
        <v>14.0</v>
      </c>
      <c r="E1122" s="2">
        <f>_xlfn.IFERROR(C1122-C1121,0)</f>
        <v>0.0</v>
      </c>
      <c r="F1122" s="1">
        <f>INT((A1122-DATE(2020,1,22))/7)+1</f>
        <v>161.0</v>
      </c>
      <c r="G1122" s="1" t="str">
        <f>"Week_"&amp;F1122</f>
        <v>Week_161</v>
      </c>
    </row>
    <row r="1123" spans="8:8" ht="15.1">
      <c r="A1123" s="3">
        <v>44973.0</v>
      </c>
      <c r="B1123" s="2">
        <v>2037738.0</v>
      </c>
      <c r="C1123" s="2">
        <v>29445.0</v>
      </c>
      <c r="D1123" s="2">
        <f>_xlfn.IFERROR(B1123-B1122,0)</f>
        <v>8.0</v>
      </c>
      <c r="E1123" s="2">
        <f>_xlfn.IFERROR(C1123-C1122,0)</f>
        <v>0.0</v>
      </c>
      <c r="F1123" s="1">
        <f>INT((A1123-DATE(2020,1,22))/7)+1</f>
        <v>161.0</v>
      </c>
      <c r="G1123" s="1" t="str">
        <f>"Week_"&amp;F1123</f>
        <v>Week_161</v>
      </c>
    </row>
    <row r="1124" spans="8:8" ht="15.1">
      <c r="A1124" s="3">
        <v>44974.0</v>
      </c>
      <c r="B1124" s="2">
        <v>2037738.0</v>
      </c>
      <c r="C1124" s="2">
        <v>29445.0</v>
      </c>
      <c r="D1124" s="2">
        <f>_xlfn.IFERROR(B1124-B1123,0)</f>
        <v>0.0</v>
      </c>
      <c r="E1124" s="2">
        <f>_xlfn.IFERROR(C1124-C1123,0)</f>
        <v>0.0</v>
      </c>
      <c r="F1124" s="1">
        <f>INT((A1124-DATE(2020,1,22))/7)+1</f>
        <v>161.0</v>
      </c>
      <c r="G1124" s="1" t="str">
        <f>"Week_"&amp;F1124</f>
        <v>Week_161</v>
      </c>
    </row>
    <row r="1125" spans="8:8" ht="15.1">
      <c r="A1125" s="3">
        <v>44975.0</v>
      </c>
      <c r="B1125" s="2">
        <v>2037738.0</v>
      </c>
      <c r="C1125" s="2">
        <v>29445.0</v>
      </c>
      <c r="D1125" s="2">
        <f>_xlfn.IFERROR(B1125-B1124,0)</f>
        <v>0.0</v>
      </c>
      <c r="E1125" s="2">
        <f>_xlfn.IFERROR(C1125-C1124,0)</f>
        <v>0.0</v>
      </c>
      <c r="F1125" s="1">
        <f>INT((A1125-DATE(2020,1,22))/7)+1</f>
        <v>161.0</v>
      </c>
      <c r="G1125" s="1" t="str">
        <f>"Week_"&amp;F1125</f>
        <v>Week_161</v>
      </c>
    </row>
    <row r="1126" spans="8:8" ht="15.1">
      <c r="A1126" s="3">
        <v>44976.0</v>
      </c>
      <c r="B1126" s="2">
        <v>2037738.0</v>
      </c>
      <c r="C1126" s="2">
        <v>29445.0</v>
      </c>
      <c r="D1126" s="2">
        <f>_xlfn.IFERROR(B1126-B1125,0)</f>
        <v>0.0</v>
      </c>
      <c r="E1126" s="2">
        <f>_xlfn.IFERROR(C1126-C1125,0)</f>
        <v>0.0</v>
      </c>
      <c r="F1126" s="1">
        <f>INT((A1126-DATE(2020,1,22))/7)+1</f>
        <v>161.0</v>
      </c>
      <c r="G1126" s="1" t="str">
        <f>"Week_"&amp;F1126</f>
        <v>Week_161</v>
      </c>
    </row>
    <row r="1127" spans="8:8" ht="15.1">
      <c r="A1127" s="3">
        <v>44977.0</v>
      </c>
      <c r="B1127" s="2">
        <v>2037738.0</v>
      </c>
      <c r="C1127" s="2">
        <v>29445.0</v>
      </c>
      <c r="D1127" s="2">
        <f>_xlfn.IFERROR(B1127-B1126,0)</f>
        <v>0.0</v>
      </c>
      <c r="E1127" s="2">
        <f>_xlfn.IFERROR(C1127-C1126,0)</f>
        <v>0.0</v>
      </c>
      <c r="F1127" s="1">
        <f>INT((A1127-DATE(2020,1,22))/7)+1</f>
        <v>161.0</v>
      </c>
      <c r="G1127" s="1" t="str">
        <f>"Week_"&amp;F1127</f>
        <v>Week_161</v>
      </c>
    </row>
    <row r="1128" spans="8:8" ht="15.1">
      <c r="A1128" s="3">
        <v>44978.0</v>
      </c>
      <c r="B1128" s="2">
        <v>2037773.0</v>
      </c>
      <c r="C1128" s="2">
        <v>29445.0</v>
      </c>
      <c r="D1128" s="2">
        <f>_xlfn.IFERROR(B1128-B1127,0)</f>
        <v>35.0</v>
      </c>
      <c r="E1128" s="2">
        <f>_xlfn.IFERROR(C1128-C1127,0)</f>
        <v>0.0</v>
      </c>
      <c r="F1128" s="1">
        <f>INT((A1128-DATE(2020,1,22))/7)+1</f>
        <v>161.0</v>
      </c>
      <c r="G1128" s="1" t="str">
        <f>"Week_"&amp;F1128</f>
        <v>Week_161</v>
      </c>
    </row>
    <row r="1129" spans="8:8" ht="15.1">
      <c r="A1129" s="3">
        <v>44979.0</v>
      </c>
      <c r="B1129" s="2">
        <v>2037773.0</v>
      </c>
      <c r="C1129" s="2">
        <v>29445.0</v>
      </c>
      <c r="D1129" s="2">
        <f>_xlfn.IFERROR(B1129-B1128,0)</f>
        <v>0.0</v>
      </c>
      <c r="E1129" s="2">
        <f>_xlfn.IFERROR(C1129-C1128,0)</f>
        <v>0.0</v>
      </c>
      <c r="F1129" s="1">
        <f>INT((A1129-DATE(2020,1,22))/7)+1</f>
        <v>162.0</v>
      </c>
      <c r="G1129" s="1" t="str">
        <f>"Week_"&amp;F1129</f>
        <v>Week_162</v>
      </c>
    </row>
    <row r="1130" spans="8:8" ht="15.1">
      <c r="A1130" s="3">
        <v>44980.0</v>
      </c>
      <c r="B1130" s="2">
        <v>2037773.0</v>
      </c>
      <c r="C1130" s="2">
        <v>29445.0</v>
      </c>
      <c r="D1130" s="2">
        <f>_xlfn.IFERROR(B1130-B1129,0)</f>
        <v>0.0</v>
      </c>
      <c r="E1130" s="2">
        <f>_xlfn.IFERROR(C1130-C1129,0)</f>
        <v>0.0</v>
      </c>
      <c r="F1130" s="1">
        <f>INT((A1130-DATE(2020,1,22))/7)+1</f>
        <v>162.0</v>
      </c>
      <c r="G1130" s="1" t="str">
        <f>"Week_"&amp;F1130</f>
        <v>Week_162</v>
      </c>
    </row>
    <row r="1131" spans="8:8" ht="15.1">
      <c r="A1131" s="3">
        <v>44981.0</v>
      </c>
      <c r="B1131" s="2">
        <v>2037773.0</v>
      </c>
      <c r="C1131" s="2">
        <v>29445.0</v>
      </c>
      <c r="D1131" s="2">
        <f>_xlfn.IFERROR(B1131-B1130,0)</f>
        <v>0.0</v>
      </c>
      <c r="E1131" s="2">
        <f>_xlfn.IFERROR(C1131-C1130,0)</f>
        <v>0.0</v>
      </c>
      <c r="F1131" s="1">
        <f>INT((A1131-DATE(2020,1,22))/7)+1</f>
        <v>162.0</v>
      </c>
      <c r="G1131" s="1" t="str">
        <f>"Week_"&amp;F1131</f>
        <v>Week_162</v>
      </c>
    </row>
    <row r="1132" spans="8:8" ht="15.1">
      <c r="A1132" s="3">
        <v>44982.0</v>
      </c>
      <c r="B1132" s="2">
        <v>2037773.0</v>
      </c>
      <c r="C1132" s="2">
        <v>29445.0</v>
      </c>
      <c r="D1132" s="2">
        <f>_xlfn.IFERROR(B1132-B1131,0)</f>
        <v>0.0</v>
      </c>
      <c r="E1132" s="2">
        <f>_xlfn.IFERROR(C1132-C1131,0)</f>
        <v>0.0</v>
      </c>
      <c r="F1132" s="1">
        <f>INT((A1132-DATE(2020,1,22))/7)+1</f>
        <v>162.0</v>
      </c>
      <c r="G1132" s="1" t="str">
        <f>"Week_"&amp;F1132</f>
        <v>Week_162</v>
      </c>
    </row>
    <row r="1133" spans="8:8" ht="15.1">
      <c r="A1133" s="3">
        <v>44983.0</v>
      </c>
      <c r="B1133" s="2">
        <v>2037773.0</v>
      </c>
      <c r="C1133" s="2">
        <v>29445.0</v>
      </c>
      <c r="D1133" s="2">
        <f>_xlfn.IFERROR(B1133-B1132,0)</f>
        <v>0.0</v>
      </c>
      <c r="E1133" s="2">
        <f>_xlfn.IFERROR(C1133-C1132,0)</f>
        <v>0.0</v>
      </c>
      <c r="F1133" s="1">
        <f>INT((A1133-DATE(2020,1,22))/7)+1</f>
        <v>162.0</v>
      </c>
      <c r="G1133" s="1" t="str">
        <f>"Week_"&amp;F1133</f>
        <v>Week_162</v>
      </c>
    </row>
    <row r="1134" spans="8:8" ht="15.1">
      <c r="A1134" s="3">
        <v>44984.0</v>
      </c>
      <c r="B1134" s="2">
        <v>2037773.0</v>
      </c>
      <c r="C1134" s="2">
        <v>29445.0</v>
      </c>
      <c r="D1134" s="2">
        <f>_xlfn.IFERROR(B1134-B1133,0)</f>
        <v>0.0</v>
      </c>
      <c r="E1134" s="2">
        <f>_xlfn.IFERROR(C1134-C1133,0)</f>
        <v>0.0</v>
      </c>
      <c r="F1134" s="1">
        <f>INT((A1134-DATE(2020,1,22))/7)+1</f>
        <v>162.0</v>
      </c>
      <c r="G1134" s="1" t="str">
        <f>"Week_"&amp;F1134</f>
        <v>Week_162</v>
      </c>
    </row>
    <row r="1135" spans="8:8" ht="15.1">
      <c r="A1135" s="3">
        <v>44985.0</v>
      </c>
      <c r="B1135" s="2">
        <v>2037829.0</v>
      </c>
      <c r="C1135" s="2">
        <v>29445.0</v>
      </c>
      <c r="D1135" s="2">
        <f>_xlfn.IFERROR(B1135-B1134,0)</f>
        <v>56.0</v>
      </c>
      <c r="E1135" s="2">
        <f>_xlfn.IFERROR(C1135-C1134,0)</f>
        <v>0.0</v>
      </c>
      <c r="F1135" s="1">
        <f>INT((A1135-DATE(2020,1,22))/7)+1</f>
        <v>162.0</v>
      </c>
      <c r="G1135" s="1" t="str">
        <f>"Week_"&amp;F1135</f>
        <v>Week_162</v>
      </c>
    </row>
    <row r="1136" spans="8:8" ht="15.1">
      <c r="A1136" s="3">
        <v>44986.0</v>
      </c>
      <c r="B1136" s="2">
        <v>2037829.0</v>
      </c>
      <c r="C1136" s="2">
        <v>29445.0</v>
      </c>
      <c r="D1136" s="2">
        <f>_xlfn.IFERROR(B1136-B1135,0)</f>
        <v>0.0</v>
      </c>
      <c r="E1136" s="2">
        <f>_xlfn.IFERROR(C1136-C1135,0)</f>
        <v>0.0</v>
      </c>
      <c r="F1136" s="1">
        <f>INT((A1136-DATE(2020,1,22))/7)+1</f>
        <v>163.0</v>
      </c>
      <c r="G1136" s="1" t="str">
        <f>"Week_"&amp;F1136</f>
        <v>Week_163</v>
      </c>
    </row>
    <row r="1137" spans="8:8" ht="15.1">
      <c r="A1137" s="3">
        <v>44987.0</v>
      </c>
      <c r="B1137" s="2">
        <v>2037829.0</v>
      </c>
      <c r="C1137" s="2">
        <v>29445.0</v>
      </c>
      <c r="D1137" s="2">
        <f>_xlfn.IFERROR(B1137-B1136,0)</f>
        <v>0.0</v>
      </c>
      <c r="E1137" s="2">
        <f>_xlfn.IFERROR(C1137-C1136,0)</f>
        <v>0.0</v>
      </c>
      <c r="F1137" s="1">
        <f>INT((A1137-DATE(2020,1,22))/7)+1</f>
        <v>163.0</v>
      </c>
      <c r="G1137" s="1" t="str">
        <f>"Week_"&amp;F1137</f>
        <v>Week_163</v>
      </c>
    </row>
    <row r="1138" spans="8:8" ht="15.1">
      <c r="A1138" s="3">
        <v>44988.0</v>
      </c>
      <c r="B1138" s="2">
        <v>2037829.0</v>
      </c>
      <c r="C1138" s="2">
        <v>29445.0</v>
      </c>
      <c r="D1138" s="2">
        <f>_xlfn.IFERROR(B1138-B1137,0)</f>
        <v>0.0</v>
      </c>
      <c r="E1138" s="2">
        <f>_xlfn.IFERROR(C1138-C1137,0)</f>
        <v>0.0</v>
      </c>
      <c r="F1138" s="1">
        <f>INT((A1138-DATE(2020,1,22))/7)+1</f>
        <v>163.0</v>
      </c>
      <c r="G1138" s="1" t="str">
        <f>"Week_"&amp;F1138</f>
        <v>Week_163</v>
      </c>
    </row>
    <row r="1139" spans="8:8" ht="15.1">
      <c r="A1139" s="3">
        <v>44989.0</v>
      </c>
      <c r="B1139" s="2">
        <v>2037829.0</v>
      </c>
      <c r="C1139" s="2">
        <v>29445.0</v>
      </c>
      <c r="D1139" s="2">
        <f>_xlfn.IFERROR(B1139-B1138,0)</f>
        <v>0.0</v>
      </c>
      <c r="E1139" s="2">
        <f>_xlfn.IFERROR(C1139-C1138,0)</f>
        <v>0.0</v>
      </c>
      <c r="F1139" s="1">
        <f>INT((A1139-DATE(2020,1,22))/7)+1</f>
        <v>163.0</v>
      </c>
      <c r="G1139" s="1" t="str">
        <f>"Week_"&amp;F1139</f>
        <v>Week_163</v>
      </c>
    </row>
    <row r="1140" spans="8:8" ht="15.1">
      <c r="A1140" s="3">
        <v>44990.0</v>
      </c>
      <c r="B1140" s="2">
        <v>2037829.0</v>
      </c>
      <c r="C1140" s="2">
        <v>29445.0</v>
      </c>
      <c r="D1140" s="2">
        <f>_xlfn.IFERROR(B1140-B1139,0)</f>
        <v>0.0</v>
      </c>
      <c r="E1140" s="2">
        <f>_xlfn.IFERROR(C1140-C1139,0)</f>
        <v>0.0</v>
      </c>
      <c r="F1140" s="1">
        <f>INT((A1140-DATE(2020,1,22))/7)+1</f>
        <v>163.0</v>
      </c>
      <c r="G1140" s="1" t="str">
        <f>"Week_"&amp;F1140</f>
        <v>Week_163</v>
      </c>
    </row>
    <row r="1141" spans="8:8" ht="15.1">
      <c r="A1141" s="3">
        <v>44991.0</v>
      </c>
      <c r="B1141" s="2">
        <v>2037829.0</v>
      </c>
      <c r="C1141" s="2">
        <v>29445.0</v>
      </c>
      <c r="D1141" s="2">
        <f>_xlfn.IFERROR(B1141-B1140,0)</f>
        <v>0.0</v>
      </c>
      <c r="E1141" s="2">
        <f>_xlfn.IFERROR(C1141-C1140,0)</f>
        <v>0.0</v>
      </c>
      <c r="F1141" s="1">
        <f>INT((A1141-DATE(2020,1,22))/7)+1</f>
        <v>163.0</v>
      </c>
      <c r="G1141" s="1" t="str">
        <f>"Week_"&amp;F1141</f>
        <v>Week_163</v>
      </c>
    </row>
    <row r="1142" spans="8:8" ht="15.1">
      <c r="A1142" s="3">
        <v>44992.0</v>
      </c>
      <c r="B1142" s="2">
        <v>2037871.0</v>
      </c>
      <c r="C1142" s="2">
        <v>29445.0</v>
      </c>
      <c r="D1142" s="2">
        <f>_xlfn.IFERROR(B1142-B1141,0)</f>
        <v>42.0</v>
      </c>
      <c r="E1142" s="2">
        <f>_xlfn.IFERROR(C1142-C1141,0)</f>
        <v>0.0</v>
      </c>
      <c r="F1142" s="1">
        <f>INT((A1142-DATE(2020,1,22))/7)+1</f>
        <v>163.0</v>
      </c>
      <c r="G1142" s="1" t="str">
        <f>"Week_"&amp;F1142</f>
        <v>Week_163</v>
      </c>
    </row>
    <row r="1143" spans="8:8" ht="15.1">
      <c r="A1143" s="3">
        <v>44993.0</v>
      </c>
      <c r="B1143" s="2">
        <v>2037871.0</v>
      </c>
      <c r="C1143" s="2">
        <v>29445.0</v>
      </c>
      <c r="D1143" s="2">
        <f>_xlfn.IFERROR(B1143-B1142,0)</f>
        <v>0.0</v>
      </c>
      <c r="E1143" s="2">
        <f>_xlfn.IFERROR(C1143-C1142,0)</f>
        <v>0.0</v>
      </c>
      <c r="F1143" s="1">
        <f>INT((A1143-DATE(2020,1,22))/7)+1</f>
        <v>164.0</v>
      </c>
      <c r="G1143" s="1" t="str">
        <f>"Week_"&amp;F1143</f>
        <v>Week_164</v>
      </c>
    </row>
    <row r="1144" spans="8:8" ht="15.1">
      <c r="A1144" s="3">
        <v>44994.0</v>
      </c>
      <c r="B1144" s="2"/>
      <c r="C1144" s="2"/>
      <c r="D1144" s="2"/>
      <c r="E1144" s="2"/>
    </row>
    <row r="1145" spans="8:8">
      <c r="A1145" s="2"/>
      <c r="B1145" s="2"/>
      <c r="C1145" s="2"/>
      <c r="D1145" s="2"/>
      <c r="E1145" s="2"/>
    </row>
    <row r="1146" spans="8:8">
      <c r="E1146" s="2"/>
    </row>
    <row r="1147" spans="8:8">
      <c r="E1147" s="2"/>
    </row>
    <row r="1148" spans="8:8">
      <c r="E1148" s="2"/>
    </row>
    <row r="1149" spans="8:8">
      <c r="E1149" s="2"/>
    </row>
    <row r="1150" spans="8:8">
      <c r="E1150" s="2"/>
    </row>
    <row r="1151" spans="8:8">
      <c r="E1151" s="2"/>
    </row>
    <row r="1152" spans="8:8">
      <c r="E1152" s="2"/>
    </row>
    <row r="1153" spans="8:8">
      <c r="E1153" s="2"/>
    </row>
    <row r="1154" spans="8:8">
      <c r="E1154" s="2"/>
    </row>
    <row r="1155" spans="8:8">
      <c r="E1155" s="2"/>
    </row>
    <row r="1156" spans="8:8">
      <c r="E1156" s="2"/>
    </row>
    <row r="1157" spans="8:8">
      <c r="E1157" s="2"/>
    </row>
    <row r="1158" spans="8:8">
      <c r="E1158" s="2"/>
    </row>
    <row r="1159" spans="8:8">
      <c r="E1159" s="2"/>
    </row>
    <row r="1160" spans="8:8">
      <c r="E1160" s="2"/>
    </row>
    <row r="1161" spans="8:8">
      <c r="E1161" s="2"/>
    </row>
    <row r="1162" spans="8:8">
      <c r="E1162" s="2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141"/>
  <sheetViews>
    <sheetView tabSelected="1" workbookViewId="0" zoomScale="30">
      <selection activeCell="J162" sqref="J162"/>
    </sheetView>
  </sheetViews>
  <sheetFormatPr defaultRowHeight="14.25" defaultColWidth="10"/>
  <cols>
    <col min="1" max="1" customWidth="1" bestFit="1" width="10.0" style="4"/>
    <col min="2" max="2" customWidth="1" width="13.871094" style="5"/>
    <col min="3" max="3" customWidth="1" width="12.3125" style="5"/>
    <col min="4" max="4" customWidth="1" width="13.5" style="5"/>
    <col min="5" max="5" customWidth="1" width="15.3125" style="5"/>
    <col min="6" max="6" customWidth="1" width="12.621094" style="5"/>
    <col min="7" max="7" customWidth="1" bestFit="1" width="10.0" style="5"/>
    <col min="8" max="8" customWidth="1" bestFit="1" width="10.0" style="5"/>
    <col min="9" max="9" customWidth="1" bestFit="1" width="10.0" style="5"/>
    <col min="10" max="10" customWidth="1" bestFit="1" width="10.0" style="5"/>
    <col min="11" max="11" customWidth="1" bestFit="1" width="10.0" style="5"/>
    <col min="12" max="12" customWidth="1" bestFit="1" width="10.0" style="5"/>
    <col min="13" max="13" customWidth="1" bestFit="1" width="10.0" style="5"/>
    <col min="14" max="14" customWidth="1" bestFit="1" width="10.0" style="5"/>
    <col min="15" max="15" customWidth="1" bestFit="1" width="10.0" style="5"/>
    <col min="16" max="16" customWidth="1" bestFit="1" width="10.0" style="5"/>
    <col min="17" max="17" customWidth="1" bestFit="1" width="10.0" style="5"/>
    <col min="18" max="18" customWidth="1" bestFit="1" width="10.0" style="5"/>
    <col min="19" max="19" customWidth="1" bestFit="1" width="10.0" style="5"/>
    <col min="20" max="20" customWidth="1" bestFit="1" width="10.0" style="5"/>
    <col min="21" max="21" customWidth="1" bestFit="1" width="10.0" style="5"/>
    <col min="22" max="22" customWidth="1" bestFit="1" width="10.0" style="5"/>
    <col min="23" max="23" customWidth="1" bestFit="1" width="10.0" style="5"/>
    <col min="24" max="24" customWidth="1" bestFit="1" width="10.0" style="5"/>
    <col min="25" max="25" customWidth="1" bestFit="1" width="10.0" style="5"/>
    <col min="26" max="26" customWidth="1" bestFit="1" width="10.0" style="5"/>
    <col min="27" max="27" customWidth="1" bestFit="1" width="10.0" style="5"/>
    <col min="28" max="28" customWidth="1" bestFit="1" width="10.0" style="5"/>
    <col min="29" max="29" customWidth="1" bestFit="1" width="10.0" style="5"/>
    <col min="30" max="30" customWidth="1" bestFit="1" width="10.0" style="5"/>
    <col min="31" max="31" customWidth="1" bestFit="1" width="10.0" style="5"/>
    <col min="32" max="32" customWidth="1" bestFit="1" width="10.0" style="5"/>
    <col min="33" max="33" customWidth="1" bestFit="1" width="10.0" style="5"/>
    <col min="34" max="34" customWidth="1" bestFit="1" width="10.0" style="5"/>
    <col min="35" max="35" customWidth="1" bestFit="1" width="10.0" style="5"/>
    <col min="36" max="36" customWidth="1" bestFit="1" width="10.0" style="5"/>
    <col min="37" max="37" customWidth="1" bestFit="1" width="10.0" style="5"/>
    <col min="38" max="38" customWidth="1" bestFit="1" width="10.0" style="5"/>
    <col min="39" max="39" customWidth="1" bestFit="1" width="10.0" style="5"/>
    <col min="40" max="40" customWidth="1" bestFit="1" width="10.0" style="5"/>
    <col min="41" max="41" customWidth="1" bestFit="1" width="10.0" style="5"/>
    <col min="42" max="42" customWidth="1" bestFit="1" width="10.0" style="5"/>
    <col min="43" max="43" customWidth="1" bestFit="1" width="10.0" style="5"/>
    <col min="44" max="44" customWidth="1" bestFit="1" width="10.0" style="5"/>
    <col min="45" max="45" customWidth="1" bestFit="1" width="10.0" style="5"/>
    <col min="46" max="46" customWidth="1" bestFit="1" width="10.0" style="5"/>
    <col min="47" max="47" customWidth="1" bestFit="1" width="10.0" style="5"/>
    <col min="48" max="48" customWidth="1" bestFit="1" width="10.0" style="5"/>
    <col min="49" max="49" customWidth="1" bestFit="1" width="10.0" style="5"/>
    <col min="50" max="50" customWidth="1" bestFit="1" width="10.0" style="5"/>
    <col min="51" max="51" customWidth="1" bestFit="1" width="10.0" style="5"/>
    <col min="52" max="52" customWidth="1" bestFit="1" width="10.0" style="5"/>
    <col min="53" max="53" customWidth="1" bestFit="1" width="10.0" style="5"/>
    <col min="54" max="54" customWidth="1" bestFit="1" width="10.0" style="5"/>
    <col min="55" max="55" customWidth="1" bestFit="1" width="10.0" style="5"/>
    <col min="56" max="56" customWidth="1" bestFit="1" width="10.0" style="5"/>
    <col min="57" max="57" customWidth="1" bestFit="1" width="10.0" style="5"/>
    <col min="58" max="58" customWidth="1" bestFit="1" width="10.0" style="5"/>
    <col min="59" max="59" customWidth="1" bestFit="1" width="10.0" style="5"/>
    <col min="60" max="60" customWidth="1" bestFit="1" width="10.0" style="5"/>
    <col min="61" max="61" customWidth="1" bestFit="1" width="10.0" style="5"/>
    <col min="62" max="62" customWidth="1" bestFit="1" width="10.0" style="5"/>
    <col min="63" max="63" customWidth="1" bestFit="1" width="10.0" style="5"/>
    <col min="64" max="64" customWidth="1" bestFit="1" width="10.0" style="5"/>
    <col min="65" max="65" customWidth="1" bestFit="1" width="10.0" style="5"/>
    <col min="66" max="66" customWidth="1" bestFit="1" width="10.0" style="5"/>
    <col min="67" max="67" customWidth="1" bestFit="1" width="10.0" style="5"/>
    <col min="68" max="68" customWidth="1" bestFit="1" width="10.0" style="5"/>
    <col min="69" max="69" customWidth="1" bestFit="1" width="10.0" style="5"/>
    <col min="70" max="70" customWidth="1" bestFit="1" width="10.0" style="5"/>
    <col min="71" max="71" customWidth="1" bestFit="1" width="10.0" style="5"/>
    <col min="72" max="72" customWidth="1" bestFit="1" width="10.0" style="5"/>
    <col min="73" max="73" customWidth="1" bestFit="1" width="10.0" style="5"/>
    <col min="74" max="74" customWidth="1" bestFit="1" width="10.0" style="5"/>
    <col min="75" max="75" customWidth="1" bestFit="1" width="10.0" style="5"/>
    <col min="76" max="76" customWidth="1" bestFit="1" width="10.0" style="5"/>
    <col min="77" max="77" customWidth="1" bestFit="1" width="10.0" style="5"/>
    <col min="78" max="78" customWidth="1" bestFit="1" width="10.0" style="5"/>
    <col min="79" max="79" customWidth="1" bestFit="1" width="10.0" style="5"/>
    <col min="80" max="80" customWidth="1" bestFit="1" width="10.0" style="5"/>
    <col min="81" max="81" customWidth="1" bestFit="1" width="10.0" style="5"/>
    <col min="82" max="82" customWidth="1" bestFit="1" width="10.0" style="5"/>
    <col min="83" max="83" customWidth="1" bestFit="1" width="10.0" style="5"/>
    <col min="84" max="84" customWidth="1" bestFit="1" width="10.0" style="5"/>
    <col min="85" max="85" customWidth="1" bestFit="1" width="10.0" style="5"/>
    <col min="86" max="86" customWidth="1" bestFit="1" width="10.0" style="5"/>
    <col min="87" max="87" customWidth="1" bestFit="1" width="10.0" style="5"/>
    <col min="88" max="88" customWidth="1" bestFit="1" width="10.0" style="5"/>
    <col min="89" max="89" customWidth="1" bestFit="1" width="10.0" style="5"/>
    <col min="90" max="90" customWidth="1" bestFit="1" width="10.0" style="5"/>
    <col min="91" max="91" customWidth="1" bestFit="1" width="10.0" style="5"/>
    <col min="92" max="92" customWidth="1" bestFit="1" width="10.0" style="5"/>
    <col min="93" max="93" customWidth="1" bestFit="1" width="10.0" style="5"/>
    <col min="94" max="94" customWidth="1" bestFit="1" width="10.0" style="5"/>
    <col min="95" max="95" customWidth="1" bestFit="1" width="10.0" style="5"/>
    <col min="96" max="96" customWidth="1" bestFit="1" width="10.0" style="5"/>
    <col min="97" max="97" customWidth="1" bestFit="1" width="10.0" style="5"/>
    <col min="98" max="98" customWidth="1" bestFit="1" width="10.0" style="5"/>
    <col min="99" max="99" customWidth="1" bestFit="1" width="10.0" style="5"/>
    <col min="100" max="100" customWidth="1" bestFit="1" width="10.0" style="5"/>
    <col min="101" max="101" customWidth="1" bestFit="1" width="10.0" style="5"/>
    <col min="102" max="102" customWidth="1" bestFit="1" width="10.0" style="5"/>
    <col min="103" max="103" customWidth="1" bestFit="1" width="10.0" style="5"/>
    <col min="104" max="104" customWidth="1" bestFit="1" width="10.0" style="5"/>
    <col min="105" max="105" customWidth="1" bestFit="1" width="10.0" style="5"/>
    <col min="106" max="106" customWidth="1" bestFit="1" width="10.0" style="5"/>
    <col min="107" max="107" customWidth="1" bestFit="1" width="10.0" style="5"/>
    <col min="108" max="108" customWidth="1" bestFit="1" width="10.0" style="5"/>
    <col min="109" max="109" customWidth="1" bestFit="1" width="10.0" style="5"/>
    <col min="110" max="110" customWidth="1" bestFit="1" width="10.0" style="5"/>
    <col min="111" max="111" customWidth="1" bestFit="1" width="10.0" style="5"/>
    <col min="112" max="112" customWidth="1" bestFit="1" width="10.0" style="5"/>
    <col min="113" max="113" customWidth="1" bestFit="1" width="10.0" style="5"/>
    <col min="114" max="114" customWidth="1" bestFit="1" width="10.0" style="5"/>
    <col min="115" max="115" customWidth="1" bestFit="1" width="10.0" style="5"/>
    <col min="116" max="116" customWidth="1" bestFit="1" width="10.0" style="5"/>
    <col min="117" max="117" customWidth="1" bestFit="1" width="10.0" style="5"/>
    <col min="118" max="118" customWidth="1" bestFit="1" width="10.0" style="5"/>
    <col min="119" max="119" customWidth="1" bestFit="1" width="10.0" style="5"/>
    <col min="120" max="120" customWidth="1" bestFit="1" width="10.0" style="5"/>
    <col min="121" max="121" customWidth="1" bestFit="1" width="10.0" style="5"/>
    <col min="122" max="122" customWidth="1" bestFit="1" width="10.0" style="5"/>
    <col min="123" max="123" customWidth="1" bestFit="1" width="10.0" style="5"/>
    <col min="124" max="124" customWidth="1" bestFit="1" width="10.0" style="5"/>
    <col min="125" max="125" customWidth="1" bestFit="1" width="10.0" style="5"/>
    <col min="126" max="126" customWidth="1" bestFit="1" width="10.0" style="5"/>
    <col min="127" max="127" customWidth="1" bestFit="1" width="10.0" style="5"/>
    <col min="128" max="128" customWidth="1" bestFit="1" width="10.0" style="5"/>
    <col min="129" max="129" customWidth="1" bestFit="1" width="10.0" style="5"/>
    <col min="130" max="130" customWidth="1" bestFit="1" width="10.0" style="5"/>
    <col min="131" max="131" customWidth="1" bestFit="1" width="10.0" style="5"/>
    <col min="132" max="132" customWidth="1" bestFit="1" width="10.0" style="5"/>
    <col min="133" max="133" customWidth="1" bestFit="1" width="10.0" style="5"/>
    <col min="134" max="134" customWidth="1" bestFit="1" width="10.0" style="5"/>
    <col min="135" max="135" customWidth="1" bestFit="1" width="10.0" style="5"/>
    <col min="136" max="136" customWidth="1" bestFit="1" width="10.0" style="5"/>
    <col min="137" max="137" customWidth="1" bestFit="1" width="10.0" style="5"/>
    <col min="138" max="138" customWidth="1" bestFit="1" width="10.0" style="5"/>
    <col min="139" max="139" customWidth="1" bestFit="1" width="10.0" style="5"/>
    <col min="140" max="140" customWidth="1" bestFit="1" width="10.0" style="5"/>
    <col min="141" max="141" customWidth="1" bestFit="1" width="10.0" style="5"/>
    <col min="142" max="142" customWidth="1" bestFit="1" width="10.0" style="5"/>
    <col min="143" max="143" customWidth="1" bestFit="1" width="10.0" style="5"/>
    <col min="144" max="144" customWidth="1" bestFit="1" width="10.0" style="5"/>
    <col min="145" max="145" customWidth="1" bestFit="1" width="10.0" style="5"/>
    <col min="146" max="146" customWidth="1" bestFit="1" width="10.0" style="5"/>
    <col min="147" max="147" customWidth="1" bestFit="1" width="10.0" style="5"/>
    <col min="148" max="148" customWidth="1" bestFit="1" width="10.0" style="5"/>
    <col min="149" max="149" customWidth="1" bestFit="1" width="10.0" style="5"/>
    <col min="150" max="150" customWidth="1" bestFit="1" width="10.0" style="5"/>
    <col min="151" max="151" customWidth="1" bestFit="1" width="10.0" style="5"/>
    <col min="152" max="152" customWidth="1" bestFit="1" width="10.0" style="5"/>
    <col min="153" max="153" customWidth="1" bestFit="1" width="10.0" style="5"/>
    <col min="154" max="154" customWidth="1" bestFit="1" width="10.0" style="5"/>
    <col min="155" max="155" customWidth="1" bestFit="1" width="10.0" style="5"/>
    <col min="156" max="156" customWidth="1" bestFit="1" width="10.0" style="5"/>
    <col min="157" max="157" customWidth="1" bestFit="1" width="10.0" style="5"/>
    <col min="158" max="158" customWidth="1" bestFit="1" width="10.0" style="5"/>
    <col min="159" max="159" customWidth="1" bestFit="1" width="10.0" style="5"/>
    <col min="160" max="160" customWidth="1" bestFit="1" width="10.0" style="5"/>
    <col min="161" max="161" customWidth="1" bestFit="1" width="10.0" style="5"/>
    <col min="162" max="162" customWidth="1" bestFit="1" width="10.0" style="5"/>
    <col min="163" max="163" customWidth="1" bestFit="1" width="10.0" style="5"/>
    <col min="164" max="164" customWidth="1" bestFit="1" width="10.0" style="5"/>
    <col min="165" max="165" customWidth="1" bestFit="1" width="10.0" style="5"/>
    <col min="166" max="166" customWidth="1" bestFit="1" width="10.0" style="5"/>
    <col min="167" max="167" customWidth="1" bestFit="1" width="10.0" style="5"/>
    <col min="168" max="168" customWidth="1" bestFit="1" width="10.0" style="5"/>
    <col min="169" max="169" customWidth="1" bestFit="1" width="10.0" style="5"/>
    <col min="170" max="170" customWidth="1" bestFit="1" width="10.0" style="5"/>
    <col min="171" max="171" customWidth="1" bestFit="1" width="10.0" style="5"/>
    <col min="172" max="172" customWidth="1" bestFit="1" width="10.0" style="5"/>
    <col min="173" max="173" customWidth="1" bestFit="1" width="10.0" style="5"/>
    <col min="174" max="174" customWidth="1" bestFit="1" width="10.0" style="5"/>
    <col min="175" max="175" customWidth="1" bestFit="1" width="10.0" style="5"/>
    <col min="176" max="176" customWidth="1" bestFit="1" width="10.0" style="5"/>
    <col min="177" max="177" customWidth="1" bestFit="1" width="10.0" style="5"/>
    <col min="178" max="178" customWidth="1" bestFit="1" width="10.0" style="5"/>
    <col min="179" max="179" customWidth="1" bestFit="1" width="10.0" style="5"/>
    <col min="180" max="180" customWidth="1" bestFit="1" width="10.0" style="5"/>
    <col min="181" max="181" customWidth="1" bestFit="1" width="10.0" style="5"/>
    <col min="182" max="182" customWidth="1" bestFit="1" width="10.0" style="5"/>
    <col min="183" max="183" customWidth="1" bestFit="1" width="10.0" style="5"/>
    <col min="184" max="184" customWidth="1" bestFit="1" width="10.0" style="5"/>
    <col min="185" max="185" customWidth="1" bestFit="1" width="10.0" style="5"/>
    <col min="186" max="186" customWidth="1" bestFit="1" width="10.0" style="5"/>
    <col min="187" max="187" customWidth="1" bestFit="1" width="10.0" style="5"/>
    <col min="188" max="188" customWidth="1" bestFit="1" width="10.0" style="5"/>
    <col min="189" max="189" customWidth="1" bestFit="1" width="10.0" style="5"/>
    <col min="190" max="190" customWidth="1" bestFit="1" width="10.0" style="5"/>
    <col min="191" max="191" customWidth="1" bestFit="1" width="10.0" style="5"/>
    <col min="192" max="192" customWidth="1" bestFit="1" width="10.0" style="5"/>
    <col min="193" max="193" customWidth="1" bestFit="1" width="10.0" style="5"/>
    <col min="194" max="194" customWidth="1" bestFit="1" width="10.0" style="5"/>
    <col min="195" max="195" customWidth="1" bestFit="1" width="10.0" style="5"/>
    <col min="196" max="196" customWidth="1" bestFit="1" width="10.0" style="5"/>
    <col min="197" max="197" customWidth="1" bestFit="1" width="10.0" style="5"/>
    <col min="198" max="198" customWidth="1" bestFit="1" width="10.0" style="5"/>
    <col min="199" max="199" customWidth="1" bestFit="1" width="10.0" style="5"/>
    <col min="200" max="200" customWidth="1" bestFit="1" width="10.0" style="5"/>
    <col min="201" max="201" customWidth="1" bestFit="1" width="10.0" style="5"/>
    <col min="202" max="202" customWidth="1" bestFit="1" width="10.0" style="5"/>
    <col min="203" max="203" customWidth="1" bestFit="1" width="10.0" style="5"/>
    <col min="204" max="204" customWidth="1" bestFit="1" width="10.0" style="5"/>
    <col min="205" max="205" customWidth="1" bestFit="1" width="10.0" style="5"/>
    <col min="206" max="206" customWidth="1" bestFit="1" width="10.0" style="5"/>
    <col min="207" max="207" customWidth="1" bestFit="1" width="10.0" style="5"/>
    <col min="208" max="208" customWidth="1" bestFit="1" width="10.0" style="5"/>
    <col min="209" max="209" customWidth="1" bestFit="1" width="10.0" style="5"/>
    <col min="210" max="210" customWidth="1" bestFit="1" width="10.0" style="5"/>
    <col min="211" max="211" customWidth="1" bestFit="1" width="10.0" style="5"/>
    <col min="212" max="212" customWidth="1" bestFit="1" width="10.0" style="5"/>
    <col min="213" max="213" customWidth="1" bestFit="1" width="10.0" style="5"/>
    <col min="214" max="214" customWidth="1" bestFit="1" width="10.0" style="5"/>
    <col min="215" max="215" customWidth="1" bestFit="1" width="10.0" style="5"/>
    <col min="216" max="216" customWidth="1" bestFit="1" width="10.0" style="5"/>
    <col min="217" max="217" customWidth="1" bestFit="1" width="10.0" style="5"/>
    <col min="218" max="218" customWidth="1" bestFit="1" width="10.0" style="5"/>
    <col min="219" max="219" customWidth="1" bestFit="1" width="10.0" style="5"/>
    <col min="220" max="220" customWidth="1" bestFit="1" width="10.0" style="5"/>
    <col min="221" max="221" customWidth="1" bestFit="1" width="10.0" style="5"/>
    <col min="222" max="222" customWidth="1" bestFit="1" width="10.0" style="5"/>
    <col min="223" max="223" customWidth="1" bestFit="1" width="10.0" style="5"/>
    <col min="224" max="224" customWidth="1" bestFit="1" width="10.0" style="5"/>
    <col min="225" max="225" customWidth="1" bestFit="1" width="10.0" style="5"/>
    <col min="226" max="226" customWidth="1" bestFit="1" width="10.0" style="5"/>
    <col min="227" max="227" customWidth="1" bestFit="1" width="10.0" style="5"/>
    <col min="228" max="228" customWidth="1" bestFit="1" width="10.0" style="5"/>
    <col min="229" max="229" customWidth="1" bestFit="1" width="10.0" style="5"/>
    <col min="230" max="230" customWidth="1" bestFit="1" width="10.0" style="5"/>
    <col min="231" max="231" customWidth="1" bestFit="1" width="10.0" style="5"/>
    <col min="232" max="232" customWidth="1" bestFit="1" width="10.0" style="5"/>
    <col min="233" max="233" customWidth="1" bestFit="1" width="10.0" style="5"/>
    <col min="234" max="234" customWidth="1" bestFit="1" width="10.0" style="5"/>
    <col min="235" max="235" customWidth="1" bestFit="1" width="10.0" style="5"/>
    <col min="236" max="236" customWidth="1" bestFit="1" width="10.0" style="5"/>
    <col min="237" max="237" customWidth="1" bestFit="1" width="10.0" style="5"/>
    <col min="238" max="238" customWidth="1" bestFit="1" width="10.0" style="5"/>
    <col min="239" max="239" customWidth="1" bestFit="1" width="10.0" style="5"/>
    <col min="240" max="240" customWidth="1" bestFit="1" width="10.0" style="5"/>
    <col min="241" max="241" customWidth="1" bestFit="1" width="10.0" style="5"/>
    <col min="242" max="242" customWidth="1" bestFit="1" width="10.0" style="5"/>
    <col min="243" max="243" customWidth="1" bestFit="1" width="10.0" style="5"/>
    <col min="244" max="244" customWidth="1" bestFit="1" width="10.0" style="5"/>
    <col min="245" max="245" customWidth="1" bestFit="1" width="10.0" style="5"/>
    <col min="246" max="246" customWidth="1" bestFit="1" width="10.0" style="5"/>
    <col min="247" max="247" customWidth="1" bestFit="1" width="10.0" style="5"/>
    <col min="248" max="248" customWidth="1" bestFit="1" width="10.0" style="5"/>
    <col min="249" max="249" customWidth="1" bestFit="1" width="10.0" style="5"/>
    <col min="250" max="250" customWidth="1" bestFit="1" width="10.0" style="5"/>
    <col min="251" max="251" customWidth="1" bestFit="1" width="10.0" style="5"/>
    <col min="252" max="252" customWidth="1" bestFit="1" width="10.0" style="5"/>
    <col min="253" max="253" customWidth="1" bestFit="1" width="10.0" style="5"/>
    <col min="254" max="254" customWidth="1" bestFit="1" width="10.0" style="5"/>
    <col min="255" max="255" customWidth="1" bestFit="1" width="10.0" style="5"/>
    <col min="256" max="256" customWidth="1" bestFit="1" width="10.0" style="5"/>
    <col min="257" max="257" customWidth="1" bestFit="1" width="10.0" style="5"/>
    <col min="258" max="258" customWidth="1" bestFit="1" width="10.0" style="5"/>
    <col min="259" max="259" customWidth="1" bestFit="1" width="10.0" style="5"/>
    <col min="260" max="260" customWidth="1" bestFit="1" width="10.0" style="5"/>
    <col min="261" max="261" customWidth="1" bestFit="1" width="10.0" style="5"/>
    <col min="262" max="262" customWidth="1" bestFit="1" width="10.0" style="5"/>
    <col min="263" max="263" customWidth="1" bestFit="1" width="10.0" style="5"/>
    <col min="264" max="264" customWidth="1" bestFit="1" width="10.0" style="5"/>
    <col min="265" max="265" customWidth="1" bestFit="1" width="10.0" style="5"/>
    <col min="266" max="266" customWidth="1" bestFit="1" width="10.0" style="5"/>
    <col min="267" max="267" customWidth="1" bestFit="1" width="10.0" style="5"/>
    <col min="268" max="268" customWidth="1" bestFit="1" width="10.0" style="5"/>
    <col min="269" max="269" customWidth="1" bestFit="1" width="10.0" style="5"/>
    <col min="270" max="270" customWidth="1" bestFit="1" width="10.0" style="5"/>
    <col min="271" max="271" customWidth="1" bestFit="1" width="10.0" style="5"/>
    <col min="272" max="272" customWidth="1" bestFit="1" width="10.0" style="5"/>
    <col min="273" max="273" customWidth="1" bestFit="1" width="10.0" style="5"/>
    <col min="274" max="274" customWidth="1" bestFit="1" width="10.0" style="5"/>
    <col min="275" max="275" customWidth="1" bestFit="1" width="10.0" style="5"/>
    <col min="276" max="276" customWidth="1" bestFit="1" width="10.0" style="5"/>
    <col min="277" max="277" customWidth="1" bestFit="1" width="10.0" style="5"/>
    <col min="278" max="278" customWidth="1" bestFit="1" width="10.0" style="5"/>
    <col min="279" max="279" customWidth="1" bestFit="1" width="10.0" style="5"/>
    <col min="280" max="280" customWidth="1" bestFit="1" width="10.0" style="5"/>
    <col min="281" max="281" customWidth="1" bestFit="1" width="10.0" style="5"/>
    <col min="282" max="282" customWidth="1" bestFit="1" width="10.0" style="5"/>
    <col min="283" max="283" customWidth="1" bestFit="1" width="10.0" style="5"/>
    <col min="284" max="284" customWidth="1" bestFit="1" width="10.0" style="5"/>
    <col min="285" max="285" customWidth="1" bestFit="1" width="10.0" style="5"/>
    <col min="286" max="286" customWidth="1" bestFit="1" width="10.0" style="5"/>
    <col min="287" max="287" customWidth="1" bestFit="1" width="10.0" style="5"/>
    <col min="288" max="288" customWidth="1" bestFit="1" width="10.0" style="5"/>
    <col min="289" max="289" customWidth="1" bestFit="1" width="10.0" style="5"/>
    <col min="290" max="290" customWidth="1" bestFit="1" width="10.0" style="5"/>
    <col min="291" max="291" customWidth="1" bestFit="1" width="10.0" style="5"/>
    <col min="292" max="292" customWidth="1" bestFit="1" width="10.0" style="5"/>
    <col min="293" max="293" customWidth="1" bestFit="1" width="10.0" style="5"/>
    <col min="294" max="294" customWidth="1" bestFit="1" width="10.0" style="5"/>
    <col min="295" max="295" customWidth="1" bestFit="1" width="10.0" style="5"/>
    <col min="296" max="296" customWidth="1" bestFit="1" width="10.0" style="5"/>
    <col min="297" max="297" customWidth="1" bestFit="1" width="10.0" style="5"/>
    <col min="298" max="298" customWidth="1" bestFit="1" width="10.0" style="5"/>
    <col min="299" max="299" customWidth="1" bestFit="1" width="10.0" style="5"/>
    <col min="300" max="300" customWidth="1" bestFit="1" width="10.0" style="5"/>
    <col min="301" max="301" customWidth="1" bestFit="1" width="10.0" style="5"/>
    <col min="302" max="302" customWidth="1" bestFit="1" width="10.0" style="5"/>
    <col min="303" max="303" customWidth="1" bestFit="1" width="10.0" style="5"/>
    <col min="304" max="304" customWidth="1" bestFit="1" width="10.0" style="5"/>
    <col min="305" max="305" customWidth="1" bestFit="1" width="10.0" style="5"/>
    <col min="306" max="306" customWidth="1" bestFit="1" width="10.0" style="5"/>
    <col min="307" max="307" customWidth="1" bestFit="1" width="10.0" style="5"/>
    <col min="308" max="308" customWidth="1" bestFit="1" width="10.0" style="5"/>
    <col min="309" max="309" customWidth="1" bestFit="1" width="10.0" style="5"/>
    <col min="310" max="310" customWidth="1" bestFit="1" width="10.0" style="5"/>
    <col min="311" max="311" customWidth="1" bestFit="1" width="10.0" style="5"/>
    <col min="312" max="312" customWidth="1" bestFit="1" width="10.0" style="5"/>
    <col min="313" max="313" customWidth="1" bestFit="1" width="10.0" style="5"/>
    <col min="314" max="314" customWidth="1" bestFit="1" width="10.0" style="5"/>
    <col min="315" max="315" customWidth="1" bestFit="1" width="10.0" style="5"/>
    <col min="316" max="316" customWidth="1" bestFit="1" width="10.0" style="5"/>
    <col min="317" max="317" customWidth="1" bestFit="1" width="10.0" style="5"/>
    <col min="318" max="318" customWidth="1" bestFit="1" width="10.0" style="5"/>
    <col min="319" max="319" customWidth="1" bestFit="1" width="10.0" style="5"/>
    <col min="320" max="320" customWidth="1" bestFit="1" width="10.0" style="5"/>
    <col min="321" max="321" customWidth="1" bestFit="1" width="10.0" style="5"/>
    <col min="322" max="322" customWidth="1" bestFit="1" width="10.0" style="5"/>
    <col min="323" max="323" customWidth="1" bestFit="1" width="10.0" style="5"/>
    <col min="324" max="324" customWidth="1" bestFit="1" width="10.0" style="5"/>
    <col min="325" max="325" customWidth="1" bestFit="1" width="10.0" style="5"/>
    <col min="326" max="326" customWidth="1" bestFit="1" width="10.0" style="5"/>
    <col min="327" max="327" customWidth="1" bestFit="1" width="10.0" style="5"/>
    <col min="328" max="328" customWidth="1" bestFit="1" width="10.0" style="5"/>
    <col min="329" max="329" customWidth="1" bestFit="1" width="10.0" style="5"/>
    <col min="330" max="330" customWidth="1" bestFit="1" width="10.0" style="5"/>
    <col min="331" max="331" customWidth="1" bestFit="1" width="10.0" style="5"/>
    <col min="332" max="332" customWidth="1" bestFit="1" width="10.0" style="5"/>
    <col min="333" max="333" customWidth="1" bestFit="1" width="10.0" style="5"/>
    <col min="334" max="334" customWidth="1" bestFit="1" width="10.0" style="5"/>
    <col min="335" max="335" customWidth="1" bestFit="1" width="10.0" style="5"/>
    <col min="336" max="336" customWidth="1" bestFit="1" width="10.0" style="5"/>
    <col min="337" max="337" customWidth="1" bestFit="1" width="10.0" style="5"/>
    <col min="338" max="338" customWidth="1" bestFit="1" width="10.0" style="5"/>
    <col min="339" max="339" customWidth="1" bestFit="1" width="10.0" style="5"/>
    <col min="340" max="340" customWidth="1" bestFit="1" width="10.0" style="5"/>
    <col min="341" max="341" customWidth="1" bestFit="1" width="10.0" style="5"/>
    <col min="342" max="342" customWidth="1" bestFit="1" width="10.0" style="5"/>
    <col min="343" max="343" customWidth="1" bestFit="1" width="10.0" style="5"/>
    <col min="344" max="344" customWidth="1" bestFit="1" width="10.0" style="5"/>
    <col min="345" max="345" customWidth="1" bestFit="1" width="10.0" style="5"/>
    <col min="346" max="346" customWidth="1" bestFit="1" width="10.0" style="5"/>
    <col min="347" max="347" customWidth="1" bestFit="1" width="10.0" style="5"/>
    <col min="348" max="348" customWidth="1" bestFit="1" width="10.0" style="5"/>
    <col min="349" max="349" customWidth="1" bestFit="1" width="10.0" style="5"/>
    <col min="350" max="350" customWidth="1" bestFit="1" width="10.0" style="5"/>
    <col min="351" max="351" customWidth="1" bestFit="1" width="10.0" style="5"/>
    <col min="352" max="352" customWidth="1" bestFit="1" width="10.0" style="5"/>
    <col min="353" max="353" customWidth="1" bestFit="1" width="10.0" style="5"/>
    <col min="354" max="354" customWidth="1" bestFit="1" width="10.0" style="5"/>
    <col min="355" max="355" customWidth="1" bestFit="1" width="10.0" style="5"/>
    <col min="356" max="356" customWidth="1" bestFit="1" width="10.0" style="5"/>
    <col min="357" max="357" customWidth="1" bestFit="1" width="10.0" style="5"/>
    <col min="358" max="358" customWidth="1" bestFit="1" width="10.0" style="5"/>
    <col min="359" max="359" customWidth="1" bestFit="1" width="10.0" style="5"/>
    <col min="360" max="360" customWidth="1" bestFit="1" width="10.0" style="5"/>
    <col min="361" max="361" customWidth="1" bestFit="1" width="10.0" style="5"/>
    <col min="362" max="362" customWidth="1" bestFit="1" width="10.0" style="5"/>
    <col min="363" max="363" customWidth="1" bestFit="1" width="10.0" style="5"/>
    <col min="364" max="364" customWidth="1" bestFit="1" width="10.0" style="5"/>
    <col min="365" max="365" customWidth="1" bestFit="1" width="10.0" style="5"/>
    <col min="366" max="366" customWidth="1" bestFit="1" width="10.0" style="5"/>
    <col min="367" max="367" customWidth="1" bestFit="1" width="10.0" style="5"/>
    <col min="368" max="368" customWidth="1" bestFit="1" width="10.0" style="5"/>
    <col min="369" max="369" customWidth="1" bestFit="1" width="10.0" style="5"/>
    <col min="370" max="370" customWidth="1" bestFit="1" width="10.0" style="5"/>
    <col min="371" max="371" customWidth="1" bestFit="1" width="10.0" style="5"/>
    <col min="372" max="372" customWidth="1" bestFit="1" width="10.0" style="5"/>
    <col min="373" max="373" customWidth="1" bestFit="1" width="10.0" style="5"/>
    <col min="374" max="374" customWidth="1" bestFit="1" width="10.0" style="5"/>
    <col min="375" max="375" customWidth="1" bestFit="1" width="10.0" style="5"/>
    <col min="376" max="376" customWidth="1" bestFit="1" width="10.0" style="5"/>
    <col min="377" max="377" customWidth="1" bestFit="1" width="10.0" style="5"/>
    <col min="378" max="378" customWidth="1" bestFit="1" width="10.0" style="5"/>
    <col min="379" max="379" customWidth="1" bestFit="1" width="10.0" style="5"/>
    <col min="380" max="380" customWidth="1" bestFit="1" width="10.0" style="5"/>
    <col min="381" max="381" customWidth="1" bestFit="1" width="10.0" style="5"/>
    <col min="382" max="382" customWidth="1" bestFit="1" width="10.0" style="5"/>
    <col min="383" max="383" customWidth="1" bestFit="1" width="10.0" style="5"/>
    <col min="384" max="384" customWidth="1" bestFit="1" width="10.0" style="5"/>
    <col min="385" max="385" customWidth="1" bestFit="1" width="10.0" style="5"/>
    <col min="386" max="386" customWidth="1" bestFit="1" width="10.0" style="5"/>
    <col min="387" max="387" customWidth="1" bestFit="1" width="10.0" style="5"/>
    <col min="388" max="388" customWidth="1" bestFit="1" width="10.0" style="5"/>
    <col min="389" max="389" customWidth="1" bestFit="1" width="10.0" style="5"/>
    <col min="390" max="390" customWidth="1" bestFit="1" width="10.0" style="5"/>
    <col min="391" max="391" customWidth="1" bestFit="1" width="10.0" style="5"/>
    <col min="392" max="392" customWidth="1" bestFit="1" width="10.0" style="5"/>
    <col min="393" max="393" customWidth="1" bestFit="1" width="10.0" style="5"/>
    <col min="394" max="394" customWidth="1" bestFit="1" width="10.0" style="5"/>
    <col min="395" max="395" customWidth="1" bestFit="1" width="10.0" style="5"/>
    <col min="396" max="396" customWidth="1" bestFit="1" width="10.0" style="5"/>
    <col min="397" max="397" customWidth="1" bestFit="1" width="10.0" style="5"/>
    <col min="398" max="398" customWidth="1" bestFit="1" width="10.0" style="5"/>
    <col min="399" max="399" customWidth="1" bestFit="1" width="10.0" style="5"/>
    <col min="400" max="400" customWidth="1" bestFit="1" width="10.0" style="5"/>
    <col min="401" max="401" customWidth="1" bestFit="1" width="10.0" style="5"/>
    <col min="402" max="402" customWidth="1" bestFit="1" width="10.0" style="5"/>
    <col min="403" max="403" customWidth="1" bestFit="1" width="10.0" style="5"/>
    <col min="404" max="404" customWidth="1" bestFit="1" width="10.0" style="5"/>
    <col min="405" max="405" customWidth="1" bestFit="1" width="10.0" style="5"/>
    <col min="406" max="406" customWidth="1" bestFit="1" width="10.0" style="5"/>
    <col min="407" max="407" customWidth="1" bestFit="1" width="10.0" style="5"/>
    <col min="408" max="408" customWidth="1" bestFit="1" width="10.0" style="5"/>
    <col min="409" max="409" customWidth="1" bestFit="1" width="10.0" style="5"/>
    <col min="410" max="410" customWidth="1" bestFit="1" width="10.0" style="5"/>
    <col min="411" max="411" customWidth="1" bestFit="1" width="10.0" style="5"/>
    <col min="412" max="412" customWidth="1" bestFit="1" width="10.0" style="5"/>
    <col min="413" max="413" customWidth="1" bestFit="1" width="10.0" style="5"/>
    <col min="414" max="414" customWidth="1" bestFit="1" width="10.0" style="5"/>
    <col min="415" max="415" customWidth="1" bestFit="1" width="10.0" style="5"/>
    <col min="416" max="416" customWidth="1" bestFit="1" width="10.0" style="5"/>
    <col min="417" max="417" customWidth="1" bestFit="1" width="10.0" style="5"/>
    <col min="418" max="418" customWidth="1" bestFit="1" width="10.0" style="5"/>
    <col min="419" max="419" customWidth="1" bestFit="1" width="10.0" style="5"/>
    <col min="420" max="420" customWidth="1" bestFit="1" width="10.0" style="5"/>
    <col min="421" max="421" customWidth="1" bestFit="1" width="10.0" style="5"/>
    <col min="422" max="422" customWidth="1" bestFit="1" width="10.0" style="5"/>
    <col min="423" max="423" customWidth="1" bestFit="1" width="10.0" style="5"/>
    <col min="424" max="424" customWidth="1" bestFit="1" width="10.0" style="5"/>
    <col min="425" max="425" customWidth="1" bestFit="1" width="10.0" style="5"/>
    <col min="426" max="426" customWidth="1" bestFit="1" width="10.0" style="5"/>
    <col min="427" max="427" customWidth="1" bestFit="1" width="10.0" style="5"/>
    <col min="428" max="428" customWidth="1" bestFit="1" width="10.0" style="5"/>
    <col min="429" max="429" customWidth="1" bestFit="1" width="10.0" style="5"/>
    <col min="430" max="430" customWidth="1" bestFit="1" width="10.0" style="5"/>
    <col min="431" max="431" customWidth="1" bestFit="1" width="10.0" style="5"/>
    <col min="432" max="432" customWidth="1" bestFit="1" width="10.0" style="5"/>
    <col min="433" max="433" customWidth="1" bestFit="1" width="10.0" style="5"/>
    <col min="434" max="434" customWidth="1" bestFit="1" width="10.0" style="5"/>
    <col min="435" max="435" customWidth="1" bestFit="1" width="10.0" style="5"/>
    <col min="436" max="436" customWidth="1" bestFit="1" width="10.0" style="5"/>
    <col min="437" max="437" customWidth="1" bestFit="1" width="10.0" style="5"/>
    <col min="438" max="438" customWidth="1" bestFit="1" width="10.0" style="5"/>
    <col min="439" max="439" customWidth="1" bestFit="1" width="10.0" style="5"/>
    <col min="440" max="440" customWidth="1" bestFit="1" width="10.0" style="5"/>
    <col min="441" max="441" customWidth="1" bestFit="1" width="10.0" style="5"/>
    <col min="442" max="442" customWidth="1" bestFit="1" width="10.0" style="5"/>
    <col min="443" max="443" customWidth="1" bestFit="1" width="10.0" style="5"/>
    <col min="444" max="444" customWidth="1" bestFit="1" width="10.0" style="5"/>
    <col min="445" max="445" customWidth="1" bestFit="1" width="10.0" style="5"/>
    <col min="446" max="446" customWidth="1" bestFit="1" width="10.0" style="5"/>
    <col min="447" max="447" customWidth="1" bestFit="1" width="10.0" style="5"/>
    <col min="448" max="448" customWidth="1" bestFit="1" width="10.0" style="5"/>
    <col min="449" max="449" customWidth="1" bestFit="1" width="10.0" style="5"/>
    <col min="450" max="450" customWidth="1" bestFit="1" width="10.0" style="5"/>
    <col min="451" max="451" customWidth="1" bestFit="1" width="10.0" style="5"/>
    <col min="452" max="452" customWidth="1" bestFit="1" width="10.0" style="5"/>
    <col min="453" max="453" customWidth="1" bestFit="1" width="10.0" style="5"/>
    <col min="454" max="454" customWidth="1" bestFit="1" width="10.0" style="5"/>
    <col min="455" max="455" customWidth="1" bestFit="1" width="10.0" style="5"/>
    <col min="456" max="456" customWidth="1" bestFit="1" width="10.0" style="5"/>
    <col min="457" max="457" customWidth="1" bestFit="1" width="10.0" style="5"/>
    <col min="458" max="458" customWidth="1" bestFit="1" width="10.0" style="5"/>
    <col min="459" max="459" customWidth="1" bestFit="1" width="10.0" style="5"/>
    <col min="460" max="460" customWidth="1" bestFit="1" width="10.0" style="5"/>
    <col min="461" max="461" customWidth="1" bestFit="1" width="10.0" style="5"/>
    <col min="462" max="462" customWidth="1" bestFit="1" width="10.0" style="5"/>
    <col min="463" max="463" customWidth="1" bestFit="1" width="10.0" style="5"/>
    <col min="464" max="464" customWidth="1" bestFit="1" width="10.0" style="5"/>
    <col min="465" max="465" customWidth="1" bestFit="1" width="10.0" style="5"/>
    <col min="466" max="466" customWidth="1" bestFit="1" width="10.0" style="5"/>
    <col min="467" max="467" customWidth="1" bestFit="1" width="10.0" style="5"/>
    <col min="468" max="468" customWidth="1" bestFit="1" width="10.0" style="5"/>
    <col min="469" max="469" customWidth="1" bestFit="1" width="10.0" style="5"/>
    <col min="470" max="470" customWidth="1" bestFit="1" width="10.0" style="5"/>
    <col min="471" max="471" customWidth="1" bestFit="1" width="10.0" style="5"/>
    <col min="472" max="472" customWidth="1" bestFit="1" width="10.0" style="5"/>
    <col min="473" max="473" customWidth="1" bestFit="1" width="10.0" style="5"/>
    <col min="474" max="474" customWidth="1" bestFit="1" width="10.0" style="5"/>
    <col min="475" max="475" customWidth="1" bestFit="1" width="10.0" style="5"/>
    <col min="476" max="476" customWidth="1" bestFit="1" width="10.0" style="5"/>
    <col min="477" max="477" customWidth="1" bestFit="1" width="10.0" style="5"/>
    <col min="478" max="478" customWidth="1" bestFit="1" width="10.0" style="5"/>
    <col min="479" max="479" customWidth="1" bestFit="1" width="10.0" style="5"/>
    <col min="480" max="480" customWidth="1" bestFit="1" width="10.0" style="5"/>
    <col min="481" max="481" customWidth="1" bestFit="1" width="10.0" style="5"/>
    <col min="482" max="482" customWidth="1" bestFit="1" width="10.0" style="5"/>
    <col min="483" max="483" customWidth="1" bestFit="1" width="10.0" style="5"/>
    <col min="484" max="484" customWidth="1" bestFit="1" width="10.0" style="5"/>
    <col min="485" max="485" customWidth="1" bestFit="1" width="10.0" style="5"/>
    <col min="486" max="486" customWidth="1" bestFit="1" width="10.0" style="5"/>
    <col min="487" max="487" customWidth="1" bestFit="1" width="10.0" style="5"/>
    <col min="488" max="488" customWidth="1" bestFit="1" width="10.0" style="5"/>
    <col min="489" max="489" customWidth="1" bestFit="1" width="10.0" style="5"/>
    <col min="490" max="490" customWidth="1" bestFit="1" width="10.0" style="5"/>
    <col min="491" max="491" customWidth="1" bestFit="1" width="10.0" style="5"/>
    <col min="492" max="492" customWidth="1" bestFit="1" width="10.0" style="5"/>
    <col min="493" max="493" customWidth="1" bestFit="1" width="10.0" style="5"/>
    <col min="494" max="494" customWidth="1" bestFit="1" width="10.0" style="5"/>
    <col min="495" max="495" customWidth="1" bestFit="1" width="10.0" style="5"/>
    <col min="496" max="496" customWidth="1" bestFit="1" width="10.0" style="5"/>
    <col min="497" max="497" customWidth="1" bestFit="1" width="10.0" style="5"/>
    <col min="498" max="498" customWidth="1" bestFit="1" width="10.0" style="5"/>
    <col min="499" max="499" customWidth="1" bestFit="1" width="10.0" style="5"/>
    <col min="500" max="500" customWidth="1" bestFit="1" width="10.0" style="5"/>
    <col min="501" max="501" customWidth="1" bestFit="1" width="10.0" style="5"/>
    <col min="502" max="502" customWidth="1" bestFit="1" width="10.0" style="5"/>
    <col min="503" max="503" customWidth="1" bestFit="1" width="10.0" style="5"/>
    <col min="504" max="504" customWidth="1" bestFit="1" width="10.0" style="5"/>
    <col min="505" max="505" customWidth="1" bestFit="1" width="10.0" style="5"/>
    <col min="506" max="506" customWidth="1" bestFit="1" width="10.0" style="5"/>
    <col min="507" max="507" customWidth="1" bestFit="1" width="10.0" style="5"/>
    <col min="508" max="508" customWidth="1" bestFit="1" width="10.0" style="5"/>
    <col min="509" max="509" customWidth="1" bestFit="1" width="10.0" style="5"/>
    <col min="510" max="510" customWidth="1" bestFit="1" width="10.0" style="5"/>
    <col min="511" max="511" customWidth="1" bestFit="1" width="10.0" style="5"/>
    <col min="512" max="512" customWidth="1" bestFit="1" width="10.0" style="5"/>
    <col min="513" max="513" customWidth="1" bestFit="1" width="10.0" style="5"/>
    <col min="514" max="514" customWidth="1" bestFit="1" width="10.0" style="5"/>
    <col min="515" max="515" customWidth="1" bestFit="1" width="10.0" style="5"/>
    <col min="516" max="516" customWidth="1" bestFit="1" width="10.0" style="5"/>
    <col min="517" max="517" customWidth="1" bestFit="1" width="10.0" style="5"/>
    <col min="518" max="518" customWidth="1" bestFit="1" width="10.0" style="5"/>
    <col min="519" max="519" customWidth="1" bestFit="1" width="10.0" style="5"/>
    <col min="520" max="520" customWidth="1" bestFit="1" width="10.0" style="5"/>
    <col min="521" max="521" customWidth="1" bestFit="1" width="10.0" style="5"/>
    <col min="522" max="522" customWidth="1" bestFit="1" width="10.0" style="5"/>
    <col min="523" max="523" customWidth="1" bestFit="1" width="10.0" style="5"/>
    <col min="524" max="524" customWidth="1" bestFit="1" width="10.0" style="5"/>
    <col min="525" max="525" customWidth="1" bestFit="1" width="10.0" style="5"/>
    <col min="526" max="526" customWidth="1" bestFit="1" width="10.0" style="5"/>
    <col min="527" max="527" customWidth="1" bestFit="1" width="10.0" style="5"/>
    <col min="528" max="528" customWidth="1" bestFit="1" width="10.0" style="5"/>
    <col min="529" max="529" customWidth="1" bestFit="1" width="10.0" style="5"/>
    <col min="530" max="530" customWidth="1" bestFit="1" width="10.0" style="5"/>
    <col min="531" max="531" customWidth="1" bestFit="1" width="10.0" style="5"/>
    <col min="532" max="532" customWidth="1" bestFit="1" width="10.0" style="5"/>
    <col min="533" max="533" customWidth="1" bestFit="1" width="10.0" style="5"/>
    <col min="534" max="534" customWidth="1" bestFit="1" width="10.0" style="5"/>
    <col min="535" max="535" customWidth="1" bestFit="1" width="10.0" style="5"/>
    <col min="536" max="536" customWidth="1" bestFit="1" width="10.0" style="5"/>
    <col min="537" max="537" customWidth="1" bestFit="1" width="10.0" style="5"/>
    <col min="538" max="538" customWidth="1" bestFit="1" width="10.0" style="5"/>
    <col min="539" max="539" customWidth="1" bestFit="1" width="10.0" style="5"/>
    <col min="540" max="540" customWidth="1" bestFit="1" width="10.0" style="5"/>
    <col min="541" max="541" customWidth="1" bestFit="1" width="10.0" style="5"/>
    <col min="542" max="542" customWidth="1" bestFit="1" width="10.0" style="5"/>
    <col min="543" max="543" customWidth="1" bestFit="1" width="10.0" style="5"/>
    <col min="544" max="544" customWidth="1" bestFit="1" width="10.0" style="5"/>
    <col min="545" max="545" customWidth="1" bestFit="1" width="10.0" style="5"/>
    <col min="546" max="546" customWidth="1" bestFit="1" width="10.0" style="5"/>
    <col min="547" max="547" customWidth="1" bestFit="1" width="10.0" style="5"/>
    <col min="548" max="548" customWidth="1" bestFit="1" width="10.0" style="5"/>
    <col min="549" max="549" customWidth="1" bestFit="1" width="10.0" style="5"/>
    <col min="550" max="550" customWidth="1" bestFit="1" width="10.0" style="5"/>
    <col min="551" max="551" customWidth="1" bestFit="1" width="10.0" style="5"/>
    <col min="552" max="552" customWidth="1" bestFit="1" width="10.0" style="5"/>
    <col min="553" max="553" customWidth="1" bestFit="1" width="10.0" style="5"/>
    <col min="554" max="554" customWidth="1" bestFit="1" width="10.0" style="5"/>
    <col min="555" max="555" customWidth="1" bestFit="1" width="10.0" style="5"/>
    <col min="556" max="556" customWidth="1" bestFit="1" width="10.0" style="5"/>
    <col min="557" max="557" customWidth="1" bestFit="1" width="10.0" style="5"/>
    <col min="558" max="558" customWidth="1" bestFit="1" width="10.0" style="5"/>
    <col min="559" max="559" customWidth="1" bestFit="1" width="10.0" style="5"/>
    <col min="560" max="560" customWidth="1" bestFit="1" width="10.0" style="5"/>
    <col min="561" max="561" customWidth="1" bestFit="1" width="10.0" style="5"/>
    <col min="562" max="562" customWidth="1" bestFit="1" width="10.0" style="5"/>
    <col min="563" max="563" customWidth="1" bestFit="1" width="10.0" style="5"/>
    <col min="564" max="564" customWidth="1" bestFit="1" width="10.0" style="5"/>
    <col min="565" max="565" customWidth="1" bestFit="1" width="10.0" style="5"/>
    <col min="566" max="566" customWidth="1" bestFit="1" width="10.0" style="5"/>
    <col min="567" max="567" customWidth="1" bestFit="1" width="10.0" style="5"/>
    <col min="568" max="568" customWidth="1" bestFit="1" width="10.0" style="5"/>
    <col min="569" max="569" customWidth="1" bestFit="1" width="10.0" style="5"/>
    <col min="570" max="570" customWidth="1" bestFit="1" width="10.0" style="5"/>
    <col min="571" max="571" customWidth="1" bestFit="1" width="10.0" style="5"/>
    <col min="572" max="572" customWidth="1" bestFit="1" width="10.0" style="5"/>
    <col min="573" max="573" customWidth="1" bestFit="1" width="10.0" style="5"/>
    <col min="574" max="574" customWidth="1" bestFit="1" width="10.0" style="5"/>
    <col min="575" max="575" customWidth="1" bestFit="1" width="10.0" style="5"/>
    <col min="576" max="576" customWidth="1" bestFit="1" width="10.0" style="5"/>
    <col min="577" max="577" customWidth="1" bestFit="1" width="10.0" style="5"/>
    <col min="578" max="578" customWidth="1" bestFit="1" width="10.0" style="5"/>
    <col min="579" max="579" customWidth="1" bestFit="1" width="10.0" style="5"/>
    <col min="580" max="580" customWidth="1" bestFit="1" width="10.0" style="5"/>
    <col min="581" max="581" customWidth="1" bestFit="1" width="10.0" style="5"/>
    <col min="582" max="582" customWidth="1" bestFit="1" width="10.0" style="5"/>
    <col min="583" max="583" customWidth="1" bestFit="1" width="10.0" style="5"/>
    <col min="584" max="584" customWidth="1" bestFit="1" width="10.0" style="5"/>
    <col min="585" max="585" customWidth="1" bestFit="1" width="10.0" style="5"/>
    <col min="586" max="586" customWidth="1" bestFit="1" width="10.0" style="5"/>
    <col min="587" max="587" customWidth="1" bestFit="1" width="10.0" style="5"/>
    <col min="588" max="588" customWidth="1" bestFit="1" width="10.0" style="5"/>
    <col min="589" max="589" customWidth="1" bestFit="1" width="10.0" style="5"/>
    <col min="590" max="590" customWidth="1" bestFit="1" width="10.0" style="5"/>
    <col min="591" max="591" customWidth="1" bestFit="1" width="10.0" style="5"/>
    <col min="592" max="592" customWidth="1" bestFit="1" width="10.0" style="5"/>
    <col min="593" max="593" customWidth="1" bestFit="1" width="10.0" style="5"/>
    <col min="594" max="594" customWidth="1" bestFit="1" width="10.0" style="5"/>
    <col min="595" max="595" customWidth="1" bestFit="1" width="10.0" style="5"/>
    <col min="596" max="596" customWidth="1" bestFit="1" width="10.0" style="5"/>
    <col min="597" max="597" customWidth="1" bestFit="1" width="10.0" style="5"/>
    <col min="598" max="598" customWidth="1" bestFit="1" width="10.0" style="5"/>
    <col min="599" max="599" customWidth="1" bestFit="1" width="10.0" style="5"/>
    <col min="600" max="600" customWidth="1" bestFit="1" width="10.0" style="5"/>
    <col min="601" max="601" customWidth="1" bestFit="1" width="10.0" style="5"/>
    <col min="602" max="602" customWidth="1" bestFit="1" width="10.0" style="5"/>
    <col min="603" max="603" customWidth="1" bestFit="1" width="10.0" style="5"/>
    <col min="604" max="604" customWidth="1" bestFit="1" width="10.0" style="5"/>
    <col min="605" max="605" customWidth="1" bestFit="1" width="10.0" style="5"/>
    <col min="606" max="606" customWidth="1" bestFit="1" width="10.0" style="5"/>
    <col min="607" max="607" customWidth="1" bestFit="1" width="10.0" style="5"/>
    <col min="608" max="608" customWidth="1" bestFit="1" width="10.0" style="5"/>
    <col min="609" max="609" customWidth="1" bestFit="1" width="10.0" style="5"/>
    <col min="610" max="610" customWidth="1" bestFit="1" width="10.0" style="5"/>
    <col min="611" max="611" customWidth="1" bestFit="1" width="10.0" style="5"/>
    <col min="612" max="612" customWidth="1" bestFit="1" width="10.0" style="5"/>
    <col min="613" max="613" customWidth="1" bestFit="1" width="10.0" style="5"/>
    <col min="614" max="614" customWidth="1" bestFit="1" width="10.0" style="5"/>
    <col min="615" max="615" customWidth="1" bestFit="1" width="10.0" style="5"/>
    <col min="616" max="616" customWidth="1" bestFit="1" width="10.0" style="5"/>
    <col min="617" max="617" customWidth="1" bestFit="1" width="10.0" style="5"/>
    <col min="618" max="618" customWidth="1" bestFit="1" width="10.0" style="5"/>
    <col min="619" max="619" customWidth="1" bestFit="1" width="10.0" style="5"/>
    <col min="620" max="620" customWidth="1" bestFit="1" width="10.0" style="5"/>
    <col min="621" max="621" customWidth="1" bestFit="1" width="10.0" style="5"/>
    <col min="622" max="622" customWidth="1" bestFit="1" width="10.0" style="5"/>
    <col min="623" max="623" customWidth="1" bestFit="1" width="10.0" style="5"/>
    <col min="624" max="624" customWidth="1" bestFit="1" width="10.0" style="5"/>
    <col min="625" max="625" customWidth="1" bestFit="1" width="10.0" style="5"/>
    <col min="626" max="626" customWidth="1" bestFit="1" width="10.0" style="5"/>
    <col min="627" max="627" customWidth="1" bestFit="1" width="10.0" style="5"/>
    <col min="628" max="628" customWidth="1" bestFit="1" width="10.0" style="5"/>
    <col min="629" max="629" customWidth="1" bestFit="1" width="10.0" style="5"/>
    <col min="630" max="630" customWidth="1" bestFit="1" width="10.0" style="5"/>
    <col min="631" max="631" customWidth="1" bestFit="1" width="10.0" style="5"/>
    <col min="632" max="632" customWidth="1" bestFit="1" width="10.0" style="5"/>
    <col min="633" max="633" customWidth="1" bestFit="1" width="10.0" style="5"/>
    <col min="634" max="634" customWidth="1" bestFit="1" width="10.0" style="5"/>
    <col min="635" max="635" customWidth="1" bestFit="1" width="10.0" style="5"/>
    <col min="636" max="636" customWidth="1" bestFit="1" width="10.0" style="5"/>
    <col min="637" max="637" customWidth="1" bestFit="1" width="10.0" style="5"/>
    <col min="638" max="638" customWidth="1" bestFit="1" width="10.0" style="5"/>
    <col min="639" max="639" customWidth="1" bestFit="1" width="10.0" style="5"/>
    <col min="640" max="640" customWidth="1" bestFit="1" width="10.0" style="5"/>
    <col min="641" max="641" customWidth="1" bestFit="1" width="10.0" style="5"/>
    <col min="642" max="642" customWidth="1" bestFit="1" width="10.0" style="5"/>
    <col min="643" max="643" customWidth="1" bestFit="1" width="10.0" style="5"/>
    <col min="644" max="644" customWidth="1" bestFit="1" width="10.0" style="5"/>
    <col min="645" max="645" customWidth="1" bestFit="1" width="10.0" style="5"/>
    <col min="646" max="646" customWidth="1" bestFit="1" width="10.0" style="5"/>
    <col min="647" max="647" customWidth="1" bestFit="1" width="10.0" style="5"/>
    <col min="648" max="648" customWidth="1" bestFit="1" width="10.0" style="5"/>
    <col min="649" max="649" customWidth="1" bestFit="1" width="10.0" style="5"/>
    <col min="650" max="650" customWidth="1" bestFit="1" width="10.0" style="5"/>
    <col min="651" max="651" customWidth="1" bestFit="1" width="10.0" style="5"/>
    <col min="652" max="652" customWidth="1" bestFit="1" width="10.0" style="5"/>
    <col min="653" max="653" customWidth="1" bestFit="1" width="10.0" style="5"/>
    <col min="654" max="654" customWidth="1" bestFit="1" width="10.0" style="5"/>
    <col min="655" max="655" customWidth="1" bestFit="1" width="10.0" style="5"/>
    <col min="656" max="656" customWidth="1" bestFit="1" width="10.0" style="5"/>
    <col min="657" max="657" customWidth="1" bestFit="1" width="10.0" style="5"/>
    <col min="658" max="658" customWidth="1" bestFit="1" width="10.0" style="5"/>
    <col min="659" max="659" customWidth="1" bestFit="1" width="10.0" style="5"/>
    <col min="660" max="660" customWidth="1" bestFit="1" width="10.0" style="5"/>
    <col min="661" max="661" customWidth="1" bestFit="1" width="10.0" style="5"/>
    <col min="662" max="662" customWidth="1" bestFit="1" width="10.0" style="5"/>
    <col min="663" max="663" customWidth="1" bestFit="1" width="10.0" style="5"/>
    <col min="664" max="664" customWidth="1" bestFit="1" width="10.0" style="5"/>
    <col min="665" max="665" customWidth="1" bestFit="1" width="10.0" style="5"/>
    <col min="666" max="666" customWidth="1" bestFit="1" width="10.0" style="5"/>
    <col min="667" max="667" customWidth="1" bestFit="1" width="10.0" style="5"/>
    <col min="668" max="668" customWidth="1" bestFit="1" width="10.0" style="5"/>
    <col min="669" max="669" customWidth="1" bestFit="1" width="10.0" style="5"/>
    <col min="670" max="670" customWidth="1" bestFit="1" width="10.0" style="5"/>
    <col min="671" max="671" customWidth="1" bestFit="1" width="10.0" style="5"/>
    <col min="672" max="672" customWidth="1" bestFit="1" width="10.0" style="5"/>
    <col min="673" max="673" customWidth="1" bestFit="1" width="10.0" style="5"/>
    <col min="674" max="674" customWidth="1" bestFit="1" width="10.0" style="5"/>
    <col min="675" max="675" customWidth="1" bestFit="1" width="10.0" style="5"/>
    <col min="676" max="676" customWidth="1" bestFit="1" width="10.0" style="5"/>
    <col min="677" max="677" customWidth="1" bestFit="1" width="10.0" style="5"/>
    <col min="678" max="678" customWidth="1" bestFit="1" width="10.0" style="5"/>
    <col min="679" max="679" customWidth="1" bestFit="1" width="10.0" style="5"/>
    <col min="680" max="680" customWidth="1" bestFit="1" width="10.0" style="5"/>
    <col min="681" max="681" customWidth="1" bestFit="1" width="10.0" style="5"/>
    <col min="682" max="682" customWidth="1" bestFit="1" width="10.0" style="5"/>
    <col min="683" max="683" customWidth="1" bestFit="1" width="10.0" style="5"/>
    <col min="684" max="684" customWidth="1" bestFit="1" width="10.0" style="5"/>
    <col min="685" max="685" customWidth="1" bestFit="1" width="10.0" style="5"/>
    <col min="686" max="686" customWidth="1" bestFit="1" width="10.0" style="5"/>
    <col min="687" max="687" customWidth="1" bestFit="1" width="10.0" style="5"/>
    <col min="688" max="688" customWidth="1" bestFit="1" width="10.0" style="5"/>
    <col min="689" max="689" customWidth="1" bestFit="1" width="10.0" style="5"/>
    <col min="690" max="690" customWidth="1" bestFit="1" width="10.0" style="5"/>
    <col min="691" max="691" customWidth="1" bestFit="1" width="10.0" style="5"/>
    <col min="692" max="692" customWidth="1" bestFit="1" width="10.0" style="5"/>
    <col min="693" max="693" customWidth="1" bestFit="1" width="10.0" style="5"/>
    <col min="694" max="694" customWidth="1" bestFit="1" width="10.0" style="5"/>
    <col min="695" max="695" customWidth="1" bestFit="1" width="10.0" style="5"/>
    <col min="696" max="696" customWidth="1" bestFit="1" width="10.0" style="5"/>
    <col min="697" max="697" customWidth="1" bestFit="1" width="10.0" style="5"/>
    <col min="698" max="698" customWidth="1" bestFit="1" width="10.0" style="5"/>
    <col min="699" max="699" customWidth="1" bestFit="1" width="10.0" style="5"/>
    <col min="700" max="700" customWidth="1" bestFit="1" width="10.0" style="5"/>
    <col min="701" max="701" customWidth="1" bestFit="1" width="10.0" style="5"/>
    <col min="702" max="702" customWidth="1" bestFit="1" width="10.0" style="5"/>
    <col min="703" max="703" customWidth="1" bestFit="1" width="10.0" style="5"/>
    <col min="704" max="704" customWidth="1" bestFit="1" width="10.0" style="5"/>
    <col min="705" max="705" customWidth="1" bestFit="1" width="10.0" style="5"/>
    <col min="706" max="706" customWidth="1" bestFit="1" width="10.0" style="5"/>
    <col min="707" max="707" customWidth="1" bestFit="1" width="10.0" style="5"/>
    <col min="708" max="708" customWidth="1" bestFit="1" width="10.0" style="5"/>
    <col min="709" max="709" customWidth="1" bestFit="1" width="10.0" style="5"/>
    <col min="710" max="710" customWidth="1" bestFit="1" width="10.0" style="5"/>
    <col min="711" max="711" customWidth="1" bestFit="1" width="10.0" style="5"/>
    <col min="712" max="712" customWidth="1" bestFit="1" width="10.0" style="5"/>
    <col min="713" max="713" customWidth="1" bestFit="1" width="10.0" style="5"/>
    <col min="714" max="714" customWidth="1" bestFit="1" width="10.0" style="5"/>
    <col min="715" max="715" customWidth="1" bestFit="1" width="10.0" style="5"/>
    <col min="716" max="716" customWidth="1" bestFit="1" width="10.0" style="5"/>
    <col min="717" max="717" customWidth="1" bestFit="1" width="10.0" style="5"/>
    <col min="718" max="718" customWidth="1" bestFit="1" width="10.0" style="5"/>
    <col min="719" max="719" customWidth="1" bestFit="1" width="10.0" style="5"/>
    <col min="720" max="720" customWidth="1" bestFit="1" width="10.0" style="5"/>
    <col min="721" max="721" customWidth="1" bestFit="1" width="10.0" style="5"/>
    <col min="722" max="722" customWidth="1" bestFit="1" width="10.0" style="5"/>
    <col min="723" max="723" customWidth="1" bestFit="1" width="10.0" style="5"/>
    <col min="724" max="724" customWidth="1" bestFit="1" width="10.0" style="5"/>
    <col min="725" max="725" customWidth="1" bestFit="1" width="10.0" style="5"/>
    <col min="726" max="726" customWidth="1" bestFit="1" width="10.0" style="5"/>
    <col min="727" max="727" customWidth="1" bestFit="1" width="10.0" style="5"/>
    <col min="728" max="728" customWidth="1" bestFit="1" width="10.0" style="5"/>
    <col min="729" max="729" customWidth="1" bestFit="1" width="10.0" style="5"/>
    <col min="730" max="730" customWidth="1" bestFit="1" width="10.0" style="5"/>
    <col min="731" max="731" customWidth="1" bestFit="1" width="10.0" style="5"/>
    <col min="732" max="732" customWidth="1" bestFit="1" width="10.0" style="5"/>
    <col min="733" max="733" customWidth="1" bestFit="1" width="10.0" style="5"/>
    <col min="734" max="734" customWidth="1" bestFit="1" width="10.0" style="5"/>
    <col min="735" max="735" customWidth="1" bestFit="1" width="10.0" style="5"/>
    <col min="736" max="736" customWidth="1" bestFit="1" width="10.0" style="5"/>
    <col min="737" max="737" customWidth="1" bestFit="1" width="10.0" style="5"/>
    <col min="738" max="738" customWidth="1" bestFit="1" width="10.0" style="5"/>
    <col min="739" max="739" customWidth="1" bestFit="1" width="10.0" style="5"/>
    <col min="740" max="740" customWidth="1" bestFit="1" width="10.0" style="5"/>
    <col min="741" max="741" customWidth="1" bestFit="1" width="10.0" style="5"/>
    <col min="742" max="742" customWidth="1" bestFit="1" width="10.0" style="5"/>
    <col min="743" max="743" customWidth="1" bestFit="1" width="10.0" style="5"/>
    <col min="744" max="744" customWidth="1" bestFit="1" width="10.0" style="5"/>
    <col min="745" max="745" customWidth="1" bestFit="1" width="10.0" style="5"/>
    <col min="746" max="746" customWidth="1" bestFit="1" width="10.0" style="5"/>
    <col min="747" max="747" customWidth="1" bestFit="1" width="10.0" style="5"/>
    <col min="748" max="748" customWidth="1" bestFit="1" width="10.0" style="5"/>
    <col min="749" max="749" customWidth="1" bestFit="1" width="10.0" style="5"/>
    <col min="750" max="750" customWidth="1" bestFit="1" width="10.0" style="5"/>
    <col min="751" max="751" customWidth="1" bestFit="1" width="10.0" style="5"/>
    <col min="752" max="752" customWidth="1" bestFit="1" width="10.0" style="5"/>
    <col min="753" max="753" customWidth="1" bestFit="1" width="10.0" style="5"/>
    <col min="754" max="754" customWidth="1" bestFit="1" width="10.0" style="5"/>
    <col min="755" max="755" customWidth="1" bestFit="1" width="10.0" style="5"/>
    <col min="756" max="756" customWidth="1" bestFit="1" width="10.0" style="5"/>
    <col min="757" max="757" customWidth="1" bestFit="1" width="10.0" style="5"/>
    <col min="758" max="758" customWidth="1" bestFit="1" width="10.0" style="5"/>
    <col min="759" max="759" customWidth="1" bestFit="1" width="10.0" style="5"/>
    <col min="760" max="760" customWidth="1" bestFit="1" width="10.0" style="5"/>
    <col min="761" max="761" customWidth="1" bestFit="1" width="10.0" style="5"/>
    <col min="762" max="762" customWidth="1" bestFit="1" width="10.0" style="5"/>
    <col min="763" max="763" customWidth="1" bestFit="1" width="10.0" style="5"/>
    <col min="764" max="764" customWidth="1" bestFit="1" width="10.0" style="5"/>
    <col min="765" max="765" customWidth="1" bestFit="1" width="10.0" style="5"/>
    <col min="766" max="766" customWidth="1" bestFit="1" width="10.0" style="5"/>
    <col min="767" max="767" customWidth="1" bestFit="1" width="10.0" style="5"/>
    <col min="768" max="768" customWidth="1" bestFit="1" width="10.0" style="5"/>
    <col min="769" max="769" customWidth="1" bestFit="1" width="10.0" style="5"/>
    <col min="770" max="770" customWidth="1" bestFit="1" width="10.0" style="5"/>
    <col min="771" max="771" customWidth="1" bestFit="1" width="10.0" style="5"/>
    <col min="772" max="772" customWidth="1" bestFit="1" width="10.0" style="5"/>
    <col min="773" max="773" customWidth="1" bestFit="1" width="10.0" style="5"/>
    <col min="774" max="774" customWidth="1" bestFit="1" width="10.0" style="5"/>
    <col min="775" max="775" customWidth="1" bestFit="1" width="10.0" style="5"/>
    <col min="776" max="776" customWidth="1" bestFit="1" width="10.0" style="5"/>
    <col min="777" max="777" customWidth="1" bestFit="1" width="10.0" style="5"/>
    <col min="778" max="778" customWidth="1" bestFit="1" width="10.0" style="5"/>
    <col min="779" max="779" customWidth="1" bestFit="1" width="10.0" style="5"/>
    <col min="780" max="780" customWidth="1" bestFit="1" width="10.0" style="5"/>
    <col min="781" max="781" customWidth="1" bestFit="1" width="10.0" style="5"/>
    <col min="782" max="782" customWidth="1" bestFit="1" width="10.0" style="5"/>
    <col min="783" max="783" customWidth="1" bestFit="1" width="10.0" style="5"/>
    <col min="784" max="784" customWidth="1" bestFit="1" width="10.0" style="5"/>
    <col min="785" max="785" customWidth="1" bestFit="1" width="10.0" style="5"/>
    <col min="786" max="786" customWidth="1" bestFit="1" width="10.0" style="5"/>
    <col min="787" max="787" customWidth="1" bestFit="1" width="10.0" style="5"/>
    <col min="788" max="788" customWidth="1" bestFit="1" width="10.0" style="5"/>
    <col min="789" max="789" customWidth="1" bestFit="1" width="10.0" style="5"/>
    <col min="790" max="790" customWidth="1" bestFit="1" width="10.0" style="5"/>
    <col min="791" max="791" customWidth="1" bestFit="1" width="10.0" style="5"/>
    <col min="792" max="792" customWidth="1" bestFit="1" width="10.0" style="5"/>
    <col min="793" max="793" customWidth="1" bestFit="1" width="10.0" style="5"/>
    <col min="794" max="794" customWidth="1" bestFit="1" width="10.0" style="5"/>
    <col min="795" max="795" customWidth="1" bestFit="1" width="10.0" style="5"/>
    <col min="796" max="796" customWidth="1" bestFit="1" width="10.0" style="5"/>
    <col min="797" max="797" customWidth="1" bestFit="1" width="10.0" style="5"/>
    <col min="798" max="798" customWidth="1" bestFit="1" width="10.0" style="5"/>
    <col min="799" max="799" customWidth="1" bestFit="1" width="10.0" style="5"/>
    <col min="800" max="800" customWidth="1" bestFit="1" width="10.0" style="5"/>
    <col min="801" max="801" customWidth="1" bestFit="1" width="10.0" style="5"/>
    <col min="802" max="802" customWidth="1" bestFit="1" width="10.0" style="5"/>
    <col min="803" max="803" customWidth="1" bestFit="1" width="10.0" style="5"/>
    <col min="804" max="804" customWidth="1" bestFit="1" width="10.0" style="5"/>
    <col min="805" max="805" customWidth="1" bestFit="1" width="10.0" style="5"/>
    <col min="806" max="806" customWidth="1" bestFit="1" width="10.0" style="5"/>
    <col min="807" max="807" customWidth="1" bestFit="1" width="10.0" style="5"/>
    <col min="808" max="808" customWidth="1" bestFit="1" width="10.0" style="5"/>
    <col min="809" max="809" customWidth="1" bestFit="1" width="10.0" style="5"/>
    <col min="810" max="810" customWidth="1" bestFit="1" width="10.0" style="5"/>
    <col min="811" max="811" customWidth="1" bestFit="1" width="10.0" style="5"/>
    <col min="812" max="812" customWidth="1" bestFit="1" width="10.0" style="5"/>
    <col min="813" max="813" customWidth="1" bestFit="1" width="10.0" style="5"/>
    <col min="814" max="814" customWidth="1" bestFit="1" width="10.0" style="5"/>
    <col min="815" max="815" customWidth="1" bestFit="1" width="10.0" style="5"/>
    <col min="816" max="816" customWidth="1" bestFit="1" width="10.0" style="5"/>
    <col min="817" max="817" customWidth="1" bestFit="1" width="10.0" style="5"/>
    <col min="818" max="818" customWidth="1" bestFit="1" width="10.0" style="5"/>
    <col min="819" max="819" customWidth="1" bestFit="1" width="10.0" style="5"/>
    <col min="820" max="820" customWidth="1" bestFit="1" width="10.0" style="5"/>
    <col min="821" max="821" customWidth="1" bestFit="1" width="10.0" style="5"/>
    <col min="822" max="822" customWidth="1" bestFit="1" width="10.0" style="5"/>
    <col min="823" max="823" customWidth="1" bestFit="1" width="10.0" style="5"/>
    <col min="824" max="824" customWidth="1" bestFit="1" width="10.0" style="5"/>
    <col min="825" max="825" customWidth="1" bestFit="1" width="10.0" style="5"/>
    <col min="826" max="826" customWidth="1" bestFit="1" width="10.0" style="5"/>
    <col min="827" max="827" customWidth="1" bestFit="1" width="10.0" style="5"/>
    <col min="828" max="828" customWidth="1" bestFit="1" width="10.0" style="5"/>
    <col min="829" max="829" customWidth="1" bestFit="1" width="10.0" style="5"/>
    <col min="830" max="830" customWidth="1" bestFit="1" width="10.0" style="5"/>
    <col min="831" max="831" customWidth="1" bestFit="1" width="10.0" style="5"/>
    <col min="832" max="832" customWidth="1" bestFit="1" width="10.0" style="5"/>
    <col min="833" max="833" customWidth="1" bestFit="1" width="10.0" style="5"/>
    <col min="834" max="834" customWidth="1" bestFit="1" width="10.0" style="5"/>
    <col min="835" max="835" customWidth="1" bestFit="1" width="10.0" style="5"/>
    <col min="836" max="836" customWidth="1" bestFit="1" width="10.0" style="5"/>
    <col min="837" max="837" customWidth="1" bestFit="1" width="10.0" style="5"/>
    <col min="838" max="838" customWidth="1" bestFit="1" width="10.0" style="5"/>
    <col min="839" max="839" customWidth="1" bestFit="1" width="10.0" style="5"/>
    <col min="840" max="840" customWidth="1" bestFit="1" width="10.0" style="5"/>
    <col min="841" max="841" customWidth="1" bestFit="1" width="10.0" style="5"/>
    <col min="842" max="842" customWidth="1" bestFit="1" width="10.0" style="5"/>
    <col min="843" max="843" customWidth="1" bestFit="1" width="10.0" style="5"/>
    <col min="844" max="844" customWidth="1" bestFit="1" width="10.0" style="5"/>
    <col min="845" max="845" customWidth="1" bestFit="1" width="10.0" style="5"/>
    <col min="846" max="846" customWidth="1" bestFit="1" width="10.0" style="5"/>
    <col min="847" max="847" customWidth="1" bestFit="1" width="10.0" style="5"/>
    <col min="848" max="848" customWidth="1" bestFit="1" width="10.0" style="5"/>
    <col min="849" max="849" customWidth="1" bestFit="1" width="10.0" style="5"/>
    <col min="850" max="850" customWidth="1" bestFit="1" width="10.0" style="5"/>
    <col min="851" max="851" customWidth="1" bestFit="1" width="10.0" style="5"/>
    <col min="852" max="852" customWidth="1" bestFit="1" width="10.0" style="5"/>
    <col min="853" max="853" customWidth="1" bestFit="1" width="10.0" style="5"/>
    <col min="854" max="854" customWidth="1" bestFit="1" width="10.0" style="5"/>
    <col min="855" max="855" customWidth="1" bestFit="1" width="10.0" style="5"/>
    <col min="856" max="856" customWidth="1" bestFit="1" width="10.0" style="5"/>
    <col min="857" max="857" customWidth="1" bestFit="1" width="10.0" style="5"/>
    <col min="858" max="858" customWidth="1" bestFit="1" width="10.0" style="5"/>
    <col min="859" max="859" customWidth="1" bestFit="1" width="10.0" style="5"/>
    <col min="860" max="860" customWidth="1" bestFit="1" width="10.0" style="5"/>
    <col min="861" max="861" customWidth="1" bestFit="1" width="10.0" style="5"/>
    <col min="862" max="862" customWidth="1" bestFit="1" width="10.0" style="5"/>
    <col min="863" max="863" customWidth="1" bestFit="1" width="10.0" style="5"/>
    <col min="864" max="864" customWidth="1" bestFit="1" width="10.0" style="5"/>
    <col min="865" max="865" customWidth="1" bestFit="1" width="10.0" style="5"/>
    <col min="866" max="866" customWidth="1" bestFit="1" width="10.0" style="5"/>
    <col min="867" max="867" customWidth="1" bestFit="1" width="10.0" style="5"/>
    <col min="868" max="868" customWidth="1" bestFit="1" width="10.0" style="5"/>
    <col min="869" max="869" customWidth="1" bestFit="1" width="10.0" style="5"/>
    <col min="870" max="870" customWidth="1" bestFit="1" width="10.0" style="5"/>
    <col min="871" max="871" customWidth="1" bestFit="1" width="10.0" style="5"/>
    <col min="872" max="872" customWidth="1" bestFit="1" width="10.0" style="5"/>
    <col min="873" max="873" customWidth="1" bestFit="1" width="10.0" style="5"/>
    <col min="874" max="874" customWidth="1" bestFit="1" width="10.0" style="5"/>
    <col min="875" max="875" customWidth="1" bestFit="1" width="10.0" style="5"/>
    <col min="876" max="876" customWidth="1" bestFit="1" width="10.0" style="5"/>
    <col min="877" max="877" customWidth="1" bestFit="1" width="10.0" style="5"/>
    <col min="878" max="878" customWidth="1" bestFit="1" width="10.0" style="5"/>
    <col min="879" max="879" customWidth="1" bestFit="1" width="10.0" style="5"/>
    <col min="880" max="880" customWidth="1" bestFit="1" width="10.0" style="5"/>
    <col min="881" max="881" customWidth="1" bestFit="1" width="10.0" style="5"/>
    <col min="882" max="882" customWidth="1" bestFit="1" width="10.0" style="5"/>
    <col min="883" max="883" customWidth="1" bestFit="1" width="10.0" style="5"/>
    <col min="884" max="884" customWidth="1" bestFit="1" width="10.0" style="5"/>
    <col min="885" max="885" customWidth="1" bestFit="1" width="10.0" style="5"/>
    <col min="886" max="886" customWidth="1" bestFit="1" width="10.0" style="5"/>
    <col min="887" max="887" customWidth="1" bestFit="1" width="10.0" style="5"/>
    <col min="888" max="888" customWidth="1" bestFit="1" width="10.0" style="5"/>
    <col min="889" max="889" customWidth="1" bestFit="1" width="10.0" style="5"/>
    <col min="890" max="890" customWidth="1" bestFit="1" width="10.0" style="5"/>
    <col min="891" max="891" customWidth="1" bestFit="1" width="10.0" style="5"/>
    <col min="892" max="892" customWidth="1" bestFit="1" width="10.0" style="5"/>
    <col min="893" max="893" customWidth="1" bestFit="1" width="10.0" style="5"/>
    <col min="894" max="894" customWidth="1" bestFit="1" width="10.0" style="5"/>
    <col min="895" max="895" customWidth="1" bestFit="1" width="10.0" style="5"/>
    <col min="896" max="896" customWidth="1" bestFit="1" width="10.0" style="5"/>
    <col min="897" max="897" customWidth="1" bestFit="1" width="10.0" style="5"/>
    <col min="898" max="898" customWidth="1" bestFit="1" width="10.0" style="5"/>
    <col min="899" max="899" customWidth="1" bestFit="1" width="10.0" style="5"/>
    <col min="900" max="900" customWidth="1" bestFit="1" width="10.0" style="5"/>
    <col min="901" max="901" customWidth="1" bestFit="1" width="10.0" style="5"/>
    <col min="902" max="902" customWidth="1" bestFit="1" width="10.0" style="5"/>
    <col min="903" max="903" customWidth="1" bestFit="1" width="10.0" style="5"/>
    <col min="904" max="904" customWidth="1" bestFit="1" width="10.0" style="5"/>
    <col min="905" max="905" customWidth="1" bestFit="1" width="10.0" style="5"/>
    <col min="906" max="906" customWidth="1" bestFit="1" width="10.0" style="5"/>
    <col min="907" max="907" customWidth="1" bestFit="1" width="10.0" style="5"/>
    <col min="908" max="908" customWidth="1" bestFit="1" width="10.0" style="5"/>
    <col min="909" max="909" customWidth="1" bestFit="1" width="10.0" style="5"/>
    <col min="910" max="910" customWidth="1" bestFit="1" width="10.0" style="5"/>
    <col min="911" max="911" customWidth="1" bestFit="1" width="10.0" style="5"/>
    <col min="912" max="912" customWidth="1" bestFit="1" width="10.0" style="5"/>
    <col min="913" max="913" customWidth="1" bestFit="1" width="10.0" style="5"/>
    <col min="914" max="914" customWidth="1" bestFit="1" width="10.0" style="5"/>
    <col min="915" max="915" customWidth="1" bestFit="1" width="10.0" style="5"/>
    <col min="916" max="916" customWidth="1" bestFit="1" width="10.0" style="5"/>
    <col min="917" max="917" customWidth="1" bestFit="1" width="10.0" style="5"/>
    <col min="918" max="918" customWidth="1" bestFit="1" width="10.0" style="5"/>
    <col min="919" max="919" customWidth="1" bestFit="1" width="10.0" style="5"/>
    <col min="920" max="920" customWidth="1" bestFit="1" width="10.0" style="5"/>
    <col min="921" max="921" customWidth="1" bestFit="1" width="10.0" style="5"/>
    <col min="922" max="922" customWidth="1" bestFit="1" width="10.0" style="5"/>
    <col min="923" max="923" customWidth="1" bestFit="1" width="10.0" style="5"/>
    <col min="924" max="924" customWidth="1" bestFit="1" width="10.0" style="5"/>
    <col min="925" max="925" customWidth="1" bestFit="1" width="10.0" style="5"/>
    <col min="926" max="926" customWidth="1" bestFit="1" width="10.0" style="5"/>
    <col min="927" max="927" customWidth="1" bestFit="1" width="10.0" style="5"/>
    <col min="928" max="928" customWidth="1" bestFit="1" width="10.0" style="5"/>
    <col min="929" max="929" customWidth="1" bestFit="1" width="10.0" style="5"/>
    <col min="930" max="930" customWidth="1" bestFit="1" width="10.0" style="5"/>
    <col min="931" max="931" customWidth="1" bestFit="1" width="10.0" style="5"/>
    <col min="932" max="932" customWidth="1" bestFit="1" width="10.0" style="5"/>
    <col min="933" max="933" customWidth="1" bestFit="1" width="10.0" style="5"/>
    <col min="934" max="934" customWidth="1" bestFit="1" width="10.0" style="5"/>
    <col min="935" max="935" customWidth="1" bestFit="1" width="10.0" style="5"/>
    <col min="936" max="936" customWidth="1" bestFit="1" width="10.0" style="5"/>
    <col min="937" max="937" customWidth="1" bestFit="1" width="10.0" style="5"/>
    <col min="938" max="938" customWidth="1" bestFit="1" width="10.0" style="5"/>
    <col min="939" max="939" customWidth="1" bestFit="1" width="10.0" style="5"/>
    <col min="940" max="940" customWidth="1" bestFit="1" width="10.0" style="5"/>
    <col min="941" max="941" customWidth="1" bestFit="1" width="10.0" style="5"/>
    <col min="942" max="942" customWidth="1" bestFit="1" width="10.0" style="5"/>
    <col min="943" max="943" customWidth="1" bestFit="1" width="10.0" style="5"/>
    <col min="944" max="944" customWidth="1" bestFit="1" width="10.0" style="5"/>
    <col min="945" max="945" customWidth="1" bestFit="1" width="10.0" style="5"/>
    <col min="946" max="946" customWidth="1" bestFit="1" width="10.0" style="5"/>
    <col min="947" max="947" customWidth="1" bestFit="1" width="10.0" style="5"/>
    <col min="948" max="948" customWidth="1" bestFit="1" width="10.0" style="5"/>
    <col min="949" max="949" customWidth="1" bestFit="1" width="10.0" style="5"/>
    <col min="950" max="950" customWidth="1" bestFit="1" width="10.0" style="5"/>
    <col min="951" max="951" customWidth="1" bestFit="1" width="10.0" style="5"/>
    <col min="952" max="952" customWidth="1" bestFit="1" width="10.0" style="5"/>
    <col min="953" max="953" customWidth="1" bestFit="1" width="10.0" style="5"/>
    <col min="954" max="954" customWidth="1" bestFit="1" width="10.0" style="5"/>
    <col min="955" max="955" customWidth="1" bestFit="1" width="10.0" style="5"/>
    <col min="956" max="956" customWidth="1" bestFit="1" width="10.0" style="5"/>
    <col min="957" max="957" customWidth="1" bestFit="1" width="10.0" style="5"/>
    <col min="958" max="958" customWidth="1" bestFit="1" width="10.0" style="5"/>
    <col min="959" max="959" customWidth="1" bestFit="1" width="10.0" style="5"/>
    <col min="960" max="960" customWidth="1" bestFit="1" width="10.0" style="5"/>
    <col min="961" max="961" customWidth="1" bestFit="1" width="10.0" style="5"/>
    <col min="962" max="962" customWidth="1" bestFit="1" width="10.0" style="5"/>
    <col min="963" max="963" customWidth="1" bestFit="1" width="10.0" style="5"/>
    <col min="964" max="964" customWidth="1" bestFit="1" width="10.0" style="5"/>
    <col min="965" max="965" customWidth="1" bestFit="1" width="10.0" style="5"/>
    <col min="966" max="966" customWidth="1" bestFit="1" width="10.0" style="5"/>
    <col min="967" max="967" customWidth="1" bestFit="1" width="10.0" style="5"/>
    <col min="968" max="968" customWidth="1" bestFit="1" width="10.0" style="5"/>
    <col min="969" max="969" customWidth="1" bestFit="1" width="10.0" style="5"/>
    <col min="970" max="970" customWidth="1" bestFit="1" width="10.0" style="5"/>
    <col min="971" max="971" customWidth="1" bestFit="1" width="10.0" style="5"/>
    <col min="972" max="972" customWidth="1" bestFit="1" width="10.0" style="5"/>
    <col min="973" max="973" customWidth="1" bestFit="1" width="10.0" style="5"/>
    <col min="974" max="974" customWidth="1" bestFit="1" width="10.0" style="5"/>
    <col min="975" max="975" customWidth="1" bestFit="1" width="10.0" style="5"/>
    <col min="976" max="976" customWidth="1" bestFit="1" width="10.0" style="5"/>
    <col min="977" max="977" customWidth="1" bestFit="1" width="10.0" style="5"/>
    <col min="978" max="978" customWidth="1" bestFit="1" width="10.0" style="5"/>
    <col min="979" max="979" customWidth="1" bestFit="1" width="10.0" style="5"/>
    <col min="980" max="980" customWidth="1" bestFit="1" width="10.0" style="5"/>
    <col min="981" max="981" customWidth="1" bestFit="1" width="10.0" style="5"/>
    <col min="982" max="982" customWidth="1" bestFit="1" width="10.0" style="5"/>
    <col min="983" max="983" customWidth="1" bestFit="1" width="10.0" style="5"/>
    <col min="984" max="984" customWidth="1" bestFit="1" width="10.0" style="5"/>
    <col min="985" max="985" customWidth="1" bestFit="1" width="10.0" style="5"/>
    <col min="986" max="986" customWidth="1" bestFit="1" width="10.0" style="5"/>
    <col min="987" max="987" customWidth="1" bestFit="1" width="10.0" style="5"/>
    <col min="988" max="988" customWidth="1" bestFit="1" width="10.0" style="5"/>
    <col min="989" max="989" customWidth="1" bestFit="1" width="10.0" style="5"/>
    <col min="990" max="990" customWidth="1" bestFit="1" width="10.0" style="5"/>
    <col min="991" max="991" customWidth="1" bestFit="1" width="10.0" style="5"/>
    <col min="992" max="992" customWidth="1" bestFit="1" width="10.0" style="5"/>
    <col min="993" max="993" customWidth="1" bestFit="1" width="10.0" style="5"/>
    <col min="994" max="994" customWidth="1" bestFit="1" width="10.0" style="5"/>
    <col min="995" max="995" customWidth="1" bestFit="1" width="10.0" style="5"/>
    <col min="996" max="996" customWidth="1" bestFit="1" width="10.0" style="5"/>
    <col min="997" max="997" customWidth="1" bestFit="1" width="10.0" style="5"/>
    <col min="998" max="998" customWidth="1" bestFit="1" width="10.0" style="5"/>
    <col min="999" max="999" customWidth="1" bestFit="1" width="10.0" style="5"/>
    <col min="1000" max="1000" customWidth="1" bestFit="1" width="10.0" style="5"/>
    <col min="1001" max="1001" customWidth="1" bestFit="1" width="10.0" style="5"/>
    <col min="1002" max="1002" customWidth="1" bestFit="1" width="10.0" style="5"/>
    <col min="1003" max="1003" customWidth="1" bestFit="1" width="10.0" style="5"/>
    <col min="1004" max="1004" customWidth="1" bestFit="1" width="10.0" style="5"/>
    <col min="1005" max="1005" customWidth="1" bestFit="1" width="10.0" style="5"/>
    <col min="1006" max="1006" customWidth="1" bestFit="1" width="10.0" style="5"/>
    <col min="1007" max="1007" customWidth="1" bestFit="1" width="10.0" style="5"/>
    <col min="1008" max="1008" customWidth="1" bestFit="1" width="10.0" style="5"/>
    <col min="1009" max="1009" customWidth="1" bestFit="1" width="10.0" style="5"/>
    <col min="1010" max="1010" customWidth="1" bestFit="1" width="10.0" style="5"/>
    <col min="1011" max="1011" customWidth="1" bestFit="1" width="10.0" style="5"/>
    <col min="1012" max="1012" customWidth="1" bestFit="1" width="10.0" style="5"/>
    <col min="1013" max="1013" customWidth="1" bestFit="1" width="10.0" style="5"/>
    <col min="1014" max="1014" customWidth="1" bestFit="1" width="10.0" style="5"/>
    <col min="1015" max="1015" customWidth="1" bestFit="1" width="10.0" style="5"/>
    <col min="1016" max="1016" customWidth="1" bestFit="1" width="10.0" style="5"/>
    <col min="1017" max="1017" customWidth="1" bestFit="1" width="10.0" style="5"/>
    <col min="1018" max="1018" customWidth="1" bestFit="1" width="10.0" style="5"/>
    <col min="1019" max="1019" customWidth="1" bestFit="1" width="10.0" style="5"/>
    <col min="1020" max="1020" customWidth="1" bestFit="1" width="10.0" style="5"/>
    <col min="1021" max="1021" customWidth="1" bestFit="1" width="10.0" style="5"/>
    <col min="1022" max="1022" customWidth="1" bestFit="1" width="10.0" style="5"/>
    <col min="1023" max="1023" customWidth="1" bestFit="1" width="10.0" style="5"/>
    <col min="1024" max="1024" customWidth="1" bestFit="1" width="10.0" style="5"/>
    <col min="1025" max="1025" customWidth="1" bestFit="1" width="10.0" style="5"/>
    <col min="1026" max="1026" customWidth="1" bestFit="1" width="10.0" style="5"/>
    <col min="1027" max="1027" customWidth="1" bestFit="1" width="10.0" style="5"/>
    <col min="1028" max="1028" customWidth="1" bestFit="1" width="10.0" style="5"/>
    <col min="1029" max="1029" customWidth="1" bestFit="1" width="10.0" style="5"/>
    <col min="1030" max="1030" customWidth="1" bestFit="1" width="10.0" style="5"/>
    <col min="1031" max="1031" customWidth="1" bestFit="1" width="10.0" style="5"/>
    <col min="1032" max="1032" customWidth="1" bestFit="1" width="10.0" style="5"/>
    <col min="1033" max="1033" customWidth="1" bestFit="1" width="10.0" style="5"/>
    <col min="1034" max="1034" customWidth="1" bestFit="1" width="10.0" style="5"/>
    <col min="1035" max="1035" customWidth="1" bestFit="1" width="10.0" style="5"/>
    <col min="1036" max="1036" customWidth="1" bestFit="1" width="10.0" style="5"/>
    <col min="1037" max="1037" customWidth="1" bestFit="1" width="10.0" style="5"/>
    <col min="1038" max="1038" customWidth="1" bestFit="1" width="10.0" style="5"/>
    <col min="1039" max="1039" customWidth="1" bestFit="1" width="10.0" style="5"/>
    <col min="1040" max="1040" customWidth="1" bestFit="1" width="10.0" style="5"/>
    <col min="1041" max="1041" customWidth="1" bestFit="1" width="10.0" style="5"/>
    <col min="1042" max="1042" customWidth="1" bestFit="1" width="10.0" style="5"/>
    <col min="1043" max="1043" customWidth="1" bestFit="1" width="10.0" style="5"/>
    <col min="1044" max="1044" customWidth="1" bestFit="1" width="10.0" style="5"/>
    <col min="1045" max="1045" customWidth="1" bestFit="1" width="10.0" style="5"/>
    <col min="1046" max="1046" customWidth="1" bestFit="1" width="10.0" style="5"/>
    <col min="1047" max="1047" customWidth="1" bestFit="1" width="10.0" style="5"/>
    <col min="1048" max="1048" customWidth="1" bestFit="1" width="10.0" style="5"/>
    <col min="1049" max="1049" customWidth="1" bestFit="1" width="10.0" style="5"/>
    <col min="1050" max="1050" customWidth="1" bestFit="1" width="10.0" style="5"/>
    <col min="1051" max="1051" customWidth="1" bestFit="1" width="10.0" style="5"/>
    <col min="1052" max="1052" customWidth="1" bestFit="1" width="10.0" style="5"/>
    <col min="1053" max="1053" customWidth="1" bestFit="1" width="10.0" style="5"/>
    <col min="1054" max="1054" customWidth="1" bestFit="1" width="10.0" style="5"/>
    <col min="1055" max="1055" customWidth="1" bestFit="1" width="10.0" style="5"/>
    <col min="1056" max="1056" customWidth="1" bestFit="1" width="10.0" style="5"/>
    <col min="1057" max="1057" customWidth="1" bestFit="1" width="10.0" style="5"/>
    <col min="1058" max="1058" customWidth="1" bestFit="1" width="10.0" style="5"/>
    <col min="1059" max="1059" customWidth="1" bestFit="1" width="10.0" style="5"/>
    <col min="1060" max="1060" customWidth="1" bestFit="1" width="10.0" style="5"/>
    <col min="1061" max="1061" customWidth="1" bestFit="1" width="10.0" style="5"/>
    <col min="1062" max="1062" customWidth="1" bestFit="1" width="10.0" style="5"/>
    <col min="1063" max="1063" customWidth="1" bestFit="1" width="10.0" style="5"/>
    <col min="1064" max="1064" customWidth="1" bestFit="1" width="10.0" style="5"/>
    <col min="1065" max="1065" customWidth="1" bestFit="1" width="10.0" style="5"/>
    <col min="1066" max="1066" customWidth="1" bestFit="1" width="10.0" style="5"/>
    <col min="1067" max="1067" customWidth="1" bestFit="1" width="10.0" style="5"/>
    <col min="1068" max="1068" customWidth="1" bestFit="1" width="10.0" style="5"/>
    <col min="1069" max="1069" customWidth="1" bestFit="1" width="10.0" style="5"/>
    <col min="1070" max="1070" customWidth="1" bestFit="1" width="10.0" style="5"/>
    <col min="1071" max="1071" customWidth="1" bestFit="1" width="10.0" style="5"/>
    <col min="1072" max="1072" customWidth="1" bestFit="1" width="10.0" style="5"/>
    <col min="1073" max="1073" customWidth="1" bestFit="1" width="10.0" style="5"/>
    <col min="1074" max="1074" customWidth="1" bestFit="1" width="10.0" style="5"/>
    <col min="1075" max="1075" customWidth="1" bestFit="1" width="10.0" style="5"/>
    <col min="1076" max="1076" customWidth="1" bestFit="1" width="10.0" style="5"/>
    <col min="1077" max="1077" customWidth="1" bestFit="1" width="10.0" style="5"/>
    <col min="1078" max="1078" customWidth="1" bestFit="1" width="10.0" style="5"/>
    <col min="1079" max="1079" customWidth="1" bestFit="1" width="10.0" style="5"/>
    <col min="1080" max="1080" customWidth="1" bestFit="1" width="10.0" style="5"/>
    <col min="1081" max="1081" customWidth="1" bestFit="1" width="10.0" style="5"/>
    <col min="1082" max="1082" customWidth="1" bestFit="1" width="10.0" style="5"/>
    <col min="1083" max="1083" customWidth="1" bestFit="1" width="10.0" style="5"/>
    <col min="1084" max="1084" customWidth="1" bestFit="1" width="10.0" style="5"/>
    <col min="1085" max="1085" customWidth="1" bestFit="1" width="10.0" style="5"/>
    <col min="1086" max="1086" customWidth="1" bestFit="1" width="10.0" style="5"/>
    <col min="1087" max="1087" customWidth="1" bestFit="1" width="10.0" style="5"/>
    <col min="1088" max="1088" customWidth="1" bestFit="1" width="10.0" style="5"/>
    <col min="1089" max="1089" customWidth="1" bestFit="1" width="10.0" style="5"/>
    <col min="1090" max="1090" customWidth="1" bestFit="1" width="10.0" style="5"/>
    <col min="1091" max="1091" customWidth="1" bestFit="1" width="10.0" style="5"/>
    <col min="1092" max="1092" customWidth="1" bestFit="1" width="10.0" style="5"/>
    <col min="1093" max="1093" customWidth="1" bestFit="1" width="10.0" style="5"/>
    <col min="1094" max="1094" customWidth="1" bestFit="1" width="10.0" style="5"/>
    <col min="1095" max="1095" customWidth="1" bestFit="1" width="10.0" style="5"/>
    <col min="1096" max="1096" customWidth="1" bestFit="1" width="10.0" style="5"/>
    <col min="1097" max="1097" customWidth="1" bestFit="1" width="10.0" style="5"/>
    <col min="1098" max="1098" customWidth="1" bestFit="1" width="10.0" style="5"/>
    <col min="1099" max="1099" customWidth="1" bestFit="1" width="10.0" style="5"/>
    <col min="1100" max="1100" customWidth="1" bestFit="1" width="10.0" style="5"/>
    <col min="1101" max="1101" customWidth="1" bestFit="1" width="10.0" style="5"/>
    <col min="1102" max="1102" customWidth="1" bestFit="1" width="10.0" style="5"/>
    <col min="1103" max="1103" customWidth="1" bestFit="1" width="10.0" style="5"/>
    <col min="1104" max="1104" customWidth="1" bestFit="1" width="10.0" style="5"/>
    <col min="1105" max="1105" customWidth="1" bestFit="1" width="10.0" style="5"/>
    <col min="1106" max="1106" customWidth="1" bestFit="1" width="10.0" style="5"/>
    <col min="1107" max="1107" customWidth="1" bestFit="1" width="10.0" style="5"/>
    <col min="1108" max="1108" customWidth="1" bestFit="1" width="10.0" style="5"/>
    <col min="1109" max="1109" customWidth="1" bestFit="1" width="10.0" style="5"/>
    <col min="1110" max="1110" customWidth="1" bestFit="1" width="10.0" style="5"/>
    <col min="1111" max="1111" customWidth="1" bestFit="1" width="10.0" style="5"/>
    <col min="1112" max="1112" customWidth="1" bestFit="1" width="10.0" style="5"/>
    <col min="1113" max="1113" customWidth="1" bestFit="1" width="10.0" style="5"/>
    <col min="1114" max="1114" customWidth="1" bestFit="1" width="10.0" style="5"/>
    <col min="1115" max="1115" customWidth="1" bestFit="1" width="10.0" style="5"/>
    <col min="1116" max="1116" customWidth="1" bestFit="1" width="10.0" style="5"/>
    <col min="1117" max="1117" customWidth="1" bestFit="1" width="10.0" style="5"/>
    <col min="1118" max="1118" customWidth="1" bestFit="1" width="10.0" style="5"/>
    <col min="1119" max="1119" customWidth="1" bestFit="1" width="10.0" style="5"/>
    <col min="1120" max="1120" customWidth="1" bestFit="1" width="10.0" style="5"/>
    <col min="1121" max="1121" customWidth="1" bestFit="1" width="10.0" style="5"/>
    <col min="1122" max="1122" customWidth="1" bestFit="1" width="10.0" style="5"/>
    <col min="1123" max="1123" customWidth="1" bestFit="1" width="10.0" style="5"/>
    <col min="1124" max="1124" customWidth="1" bestFit="1" width="10.0" style="5"/>
    <col min="1125" max="1125" customWidth="1" bestFit="1" width="10.0" style="5"/>
    <col min="1126" max="1126" customWidth="1" bestFit="1" width="10.0" style="5"/>
    <col min="1127" max="1127" customWidth="1" bestFit="1" width="10.0" style="5"/>
    <col min="1128" max="1128" customWidth="1" bestFit="1" width="10.0" style="5"/>
    <col min="1129" max="1129" customWidth="1" bestFit="1" width="10.0" style="5"/>
    <col min="1130" max="1130" customWidth="1" bestFit="1" width="10.0" style="5"/>
    <col min="1131" max="1131" customWidth="1" bestFit="1" width="10.0" style="5"/>
    <col min="1132" max="1132" customWidth="1" bestFit="1" width="10.0" style="5"/>
    <col min="1133" max="1133" customWidth="1" bestFit="1" width="10.0" style="5"/>
    <col min="1134" max="1134" customWidth="1" bestFit="1" width="10.0" style="5"/>
    <col min="1135" max="1135" customWidth="1" bestFit="1" width="10.0" style="5"/>
    <col min="1136" max="1136" customWidth="1" bestFit="1" width="10.0" style="5"/>
    <col min="1137" max="1137" customWidth="1" bestFit="1" width="10.0" style="5"/>
    <col min="1138" max="1138" customWidth="1" bestFit="1" width="10.0" style="5"/>
    <col min="1139" max="1139" customWidth="1" bestFit="1" width="10.0" style="5"/>
    <col min="1140" max="1140" customWidth="1" bestFit="1" width="10.0" style="5"/>
    <col min="1141" max="1141" customWidth="1" bestFit="1" width="10.0" style="5"/>
    <col min="1142" max="1142" customWidth="1" bestFit="1" width="10.0" style="5"/>
    <col min="1143" max="1143" customWidth="1" bestFit="1" width="10.0" style="5"/>
    <col min="1144" max="1144" customWidth="1" bestFit="1" width="10.0" style="5"/>
    <col min="1145" max="1145" customWidth="1" bestFit="1" width="10.0" style="5"/>
    <col min="1146" max="1146" customWidth="1" bestFit="1" width="10.0" style="5"/>
    <col min="1147" max="1147" customWidth="1" bestFit="1" width="10.0" style="5"/>
    <col min="1148" max="1148" customWidth="1" bestFit="1" width="10.0" style="5"/>
    <col min="1149" max="1149" customWidth="1" bestFit="1" width="10.0" style="5"/>
    <col min="1150" max="1150" customWidth="1" bestFit="1" width="10.0" style="5"/>
    <col min="1151" max="1151" customWidth="1" bestFit="1" width="10.0" style="5"/>
    <col min="1152" max="1152" customWidth="1" bestFit="1" width="10.0" style="5"/>
    <col min="1153" max="1153" customWidth="1" bestFit="1" width="10.0" style="5"/>
    <col min="1154" max="1154" customWidth="1" bestFit="1" width="10.0" style="5"/>
    <col min="1155" max="1155" customWidth="1" bestFit="1" width="10.0" style="5"/>
    <col min="1156" max="1156" customWidth="1" bestFit="1" width="10.0" style="5"/>
    <col min="1157" max="1157" customWidth="1" bestFit="1" width="10.0" style="5"/>
    <col min="1158" max="1158" customWidth="1" bestFit="1" width="10.0" style="5"/>
    <col min="1159" max="1159" customWidth="1" bestFit="1" width="10.0" style="5"/>
    <col min="1160" max="1160" customWidth="1" bestFit="1" width="10.0" style="5"/>
    <col min="1161" max="1161" customWidth="1" bestFit="1" width="10.0" style="5"/>
    <col min="1162" max="1162" customWidth="1" bestFit="1" width="10.0" style="5"/>
    <col min="1163" max="1163" customWidth="1" bestFit="1" width="10.0" style="5"/>
    <col min="1164" max="1164" customWidth="1" bestFit="1" width="10.0" style="5"/>
    <col min="1165" max="1165" customWidth="1" bestFit="1" width="10.0" style="5"/>
    <col min="1166" max="1166" customWidth="1" bestFit="1" width="10.0" style="5"/>
    <col min="1167" max="1167" customWidth="1" bestFit="1" width="10.0" style="5"/>
    <col min="1168" max="1168" customWidth="1" bestFit="1" width="10.0" style="5"/>
    <col min="1169" max="1169" customWidth="1" bestFit="1" width="10.0" style="5"/>
    <col min="1170" max="1170" customWidth="1" bestFit="1" width="10.0" style="5"/>
    <col min="1171" max="1171" customWidth="1" bestFit="1" width="10.0" style="5"/>
    <col min="1172" max="1172" customWidth="1" bestFit="1" width="10.0" style="5"/>
    <col min="1173" max="1173" customWidth="1" bestFit="1" width="10.0" style="5"/>
    <col min="1174" max="1174" customWidth="1" bestFit="1" width="10.0" style="5"/>
    <col min="1175" max="1175" customWidth="1" bestFit="1" width="10.0" style="5"/>
    <col min="1176" max="1176" customWidth="1" bestFit="1" width="10.0" style="5"/>
    <col min="1177" max="1177" customWidth="1" bestFit="1" width="10.0" style="5"/>
    <col min="1178" max="1178" customWidth="1" bestFit="1" width="10.0" style="5"/>
    <col min="1179" max="1179" customWidth="1" bestFit="1" width="10.0" style="5"/>
    <col min="1180" max="1180" customWidth="1" bestFit="1" width="10.0" style="5"/>
    <col min="1181" max="1181" customWidth="1" bestFit="1" width="10.0" style="5"/>
    <col min="1182" max="1182" customWidth="1" bestFit="1" width="10.0" style="5"/>
    <col min="1183" max="1183" customWidth="1" bestFit="1" width="10.0" style="5"/>
    <col min="1184" max="1184" customWidth="1" bestFit="1" width="10.0" style="5"/>
    <col min="1185" max="1185" customWidth="1" bestFit="1" width="10.0" style="5"/>
    <col min="1186" max="1186" customWidth="1" bestFit="1" width="10.0" style="5"/>
    <col min="1187" max="1187" customWidth="1" bestFit="1" width="10.0" style="5"/>
    <col min="1188" max="1188" customWidth="1" bestFit="1" width="10.0" style="5"/>
    <col min="1189" max="1189" customWidth="1" bestFit="1" width="10.0" style="5"/>
    <col min="1190" max="1190" customWidth="1" bestFit="1" width="10.0" style="5"/>
    <col min="1191" max="1191" customWidth="1" bestFit="1" width="10.0" style="5"/>
    <col min="1192" max="1192" customWidth="1" bestFit="1" width="10.0" style="5"/>
    <col min="1193" max="1193" customWidth="1" bestFit="1" width="10.0" style="5"/>
    <col min="1194" max="1194" customWidth="1" bestFit="1" width="10.0" style="5"/>
    <col min="1195" max="1195" customWidth="1" bestFit="1" width="10.0" style="5"/>
    <col min="1196" max="1196" customWidth="1" bestFit="1" width="10.0" style="5"/>
    <col min="1197" max="1197" customWidth="1" bestFit="1" width="10.0" style="5"/>
    <col min="1198" max="1198" customWidth="1" bestFit="1" width="10.0" style="5"/>
    <col min="1199" max="1199" customWidth="1" bestFit="1" width="10.0" style="5"/>
    <col min="1200" max="1200" customWidth="1" bestFit="1" width="10.0" style="5"/>
    <col min="1201" max="1201" customWidth="1" bestFit="1" width="10.0" style="5"/>
    <col min="1202" max="1202" customWidth="1" bestFit="1" width="10.0" style="5"/>
    <col min="1203" max="1203" customWidth="1" bestFit="1" width="10.0" style="5"/>
    <col min="1204" max="1204" customWidth="1" bestFit="1" width="10.0" style="5"/>
    <col min="1205" max="1205" customWidth="1" bestFit="1" width="10.0" style="5"/>
    <col min="1206" max="1206" customWidth="1" bestFit="1" width="10.0" style="5"/>
    <col min="1207" max="1207" customWidth="1" bestFit="1" width="10.0" style="5"/>
    <col min="1208" max="1208" customWidth="1" bestFit="1" width="10.0" style="5"/>
    <col min="1209" max="1209" customWidth="1" bestFit="1" width="10.0" style="5"/>
    <col min="1210" max="1210" customWidth="1" bestFit="1" width="10.0" style="5"/>
    <col min="1211" max="1211" customWidth="1" bestFit="1" width="10.0" style="5"/>
    <col min="1212" max="1212" customWidth="1" bestFit="1" width="10.0" style="5"/>
    <col min="1213" max="1213" customWidth="1" bestFit="1" width="10.0" style="5"/>
    <col min="1214" max="1214" customWidth="1" bestFit="1" width="10.0" style="5"/>
    <col min="1215" max="1215" customWidth="1" bestFit="1" width="10.0" style="5"/>
    <col min="1216" max="1216" customWidth="1" bestFit="1" width="10.0" style="5"/>
    <col min="1217" max="1217" customWidth="1" bestFit="1" width="10.0" style="5"/>
    <col min="1218" max="1218" customWidth="1" bestFit="1" width="10.0" style="5"/>
    <col min="1219" max="1219" customWidth="1" bestFit="1" width="10.0" style="5"/>
    <col min="1220" max="1220" customWidth="1" bestFit="1" width="10.0" style="5"/>
    <col min="1221" max="1221" customWidth="1" bestFit="1" width="10.0" style="5"/>
    <col min="1222" max="1222" customWidth="1" bestFit="1" width="10.0" style="5"/>
    <col min="1223" max="1223" customWidth="1" bestFit="1" width="10.0" style="5"/>
    <col min="1224" max="1224" customWidth="1" bestFit="1" width="10.0" style="5"/>
    <col min="1225" max="1225" customWidth="1" bestFit="1" width="10.0" style="5"/>
    <col min="1226" max="1226" customWidth="1" bestFit="1" width="10.0" style="5"/>
    <col min="1227" max="1227" customWidth="1" bestFit="1" width="10.0" style="5"/>
    <col min="1228" max="1228" customWidth="1" bestFit="1" width="10.0" style="5"/>
    <col min="1229" max="1229" customWidth="1" bestFit="1" width="10.0" style="5"/>
    <col min="1230" max="1230" customWidth="1" bestFit="1" width="10.0" style="5"/>
    <col min="1231" max="1231" customWidth="1" bestFit="1" width="10.0" style="5"/>
    <col min="1232" max="1232" customWidth="1" bestFit="1" width="10.0" style="5"/>
    <col min="1233" max="1233" customWidth="1" bestFit="1" width="10.0" style="5"/>
    <col min="1234" max="1234" customWidth="1" bestFit="1" width="10.0" style="5"/>
    <col min="1235" max="1235" customWidth="1" bestFit="1" width="10.0" style="5"/>
    <col min="1236" max="1236" customWidth="1" bestFit="1" width="10.0" style="5"/>
    <col min="1237" max="1237" customWidth="1" bestFit="1" width="10.0" style="5"/>
    <col min="1238" max="1238" customWidth="1" bestFit="1" width="10.0" style="5"/>
    <col min="1239" max="1239" customWidth="1" bestFit="1" width="10.0" style="5"/>
    <col min="1240" max="1240" customWidth="1" bestFit="1" width="10.0" style="5"/>
    <col min="1241" max="1241" customWidth="1" bestFit="1" width="10.0" style="5"/>
    <col min="1242" max="1242" customWidth="1" bestFit="1" width="10.0" style="5"/>
    <col min="1243" max="1243" customWidth="1" bestFit="1" width="10.0" style="5"/>
    <col min="1244" max="1244" customWidth="1" bestFit="1" width="10.0" style="5"/>
    <col min="1245" max="1245" customWidth="1" bestFit="1" width="10.0" style="5"/>
    <col min="1246" max="1246" customWidth="1" bestFit="1" width="10.0" style="5"/>
    <col min="1247" max="1247" customWidth="1" bestFit="1" width="10.0" style="5"/>
    <col min="1248" max="1248" customWidth="1" bestFit="1" width="10.0" style="5"/>
    <col min="1249" max="1249" customWidth="1" bestFit="1" width="10.0" style="5"/>
    <col min="1250" max="1250" customWidth="1" bestFit="1" width="10.0" style="5"/>
    <col min="1251" max="1251" customWidth="1" bestFit="1" width="10.0" style="5"/>
    <col min="1252" max="1252" customWidth="1" bestFit="1" width="10.0" style="5"/>
    <col min="1253" max="1253" customWidth="1" bestFit="1" width="10.0" style="5"/>
    <col min="1254" max="1254" customWidth="1" bestFit="1" width="10.0" style="5"/>
    <col min="1255" max="1255" customWidth="1" bestFit="1" width="10.0" style="5"/>
    <col min="1256" max="1256" customWidth="1" bestFit="1" width="10.0" style="5"/>
    <col min="1257" max="1257" customWidth="1" bestFit="1" width="10.0" style="5"/>
    <col min="1258" max="1258" customWidth="1" bestFit="1" width="10.0" style="5"/>
    <col min="1259" max="1259" customWidth="1" bestFit="1" width="10.0" style="5"/>
    <col min="1260" max="1260" customWidth="1" bestFit="1" width="10.0" style="5"/>
    <col min="1261" max="1261" customWidth="1" bestFit="1" width="10.0" style="5"/>
    <col min="1262" max="1262" customWidth="1" bestFit="1" width="10.0" style="5"/>
    <col min="1263" max="1263" customWidth="1" bestFit="1" width="10.0" style="5"/>
    <col min="1264" max="1264" customWidth="1" bestFit="1" width="10.0" style="5"/>
    <col min="1265" max="1265" customWidth="1" bestFit="1" width="10.0" style="5"/>
    <col min="1266" max="1266" customWidth="1" bestFit="1" width="10.0" style="5"/>
    <col min="1267" max="1267" customWidth="1" bestFit="1" width="10.0" style="5"/>
    <col min="1268" max="1268" customWidth="1" bestFit="1" width="10.0" style="5"/>
    <col min="1269" max="1269" customWidth="1" bestFit="1" width="10.0" style="5"/>
    <col min="1270" max="1270" customWidth="1" bestFit="1" width="10.0" style="5"/>
    <col min="1271" max="1271" customWidth="1" bestFit="1" width="10.0" style="5"/>
    <col min="1272" max="1272" customWidth="1" bestFit="1" width="10.0" style="5"/>
    <col min="1273" max="1273" customWidth="1" bestFit="1" width="10.0" style="5"/>
    <col min="1274" max="1274" customWidth="1" bestFit="1" width="10.0" style="5"/>
    <col min="1275" max="1275" customWidth="1" bestFit="1" width="10.0" style="5"/>
    <col min="1276" max="1276" customWidth="1" bestFit="1" width="10.0" style="5"/>
    <col min="1277" max="1277" customWidth="1" bestFit="1" width="10.0" style="5"/>
    <col min="1278" max="1278" customWidth="1" bestFit="1" width="10.0" style="5"/>
    <col min="1279" max="1279" customWidth="1" bestFit="1" width="10.0" style="5"/>
    <col min="1280" max="1280" customWidth="1" bestFit="1" width="10.0" style="5"/>
    <col min="1281" max="1281" customWidth="1" bestFit="1" width="10.0" style="5"/>
    <col min="1282" max="1282" customWidth="1" bestFit="1" width="10.0" style="5"/>
    <col min="1283" max="1283" customWidth="1" bestFit="1" width="10.0" style="5"/>
    <col min="1284" max="1284" customWidth="1" bestFit="1" width="10.0" style="5"/>
    <col min="1285" max="1285" customWidth="1" bestFit="1" width="10.0" style="5"/>
    <col min="1286" max="1286" customWidth="1" bestFit="1" width="10.0" style="5"/>
    <col min="1287" max="1287" customWidth="1" bestFit="1" width="10.0" style="5"/>
    <col min="1288" max="1288" customWidth="1" bestFit="1" width="10.0" style="5"/>
    <col min="1289" max="1289" customWidth="1" bestFit="1" width="10.0" style="5"/>
    <col min="1290" max="1290" customWidth="1" bestFit="1" width="10.0" style="5"/>
    <col min="1291" max="1291" customWidth="1" bestFit="1" width="10.0" style="5"/>
    <col min="1292" max="1292" customWidth="1" bestFit="1" width="10.0" style="5"/>
    <col min="1293" max="1293" customWidth="1" bestFit="1" width="10.0" style="5"/>
    <col min="1294" max="1294" customWidth="1" bestFit="1" width="10.0" style="5"/>
    <col min="1295" max="1295" customWidth="1" bestFit="1" width="10.0" style="5"/>
    <col min="1296" max="1296" customWidth="1" bestFit="1" width="10.0" style="5"/>
    <col min="1297" max="1297" customWidth="1" bestFit="1" width="10.0" style="5"/>
    <col min="1298" max="1298" customWidth="1" bestFit="1" width="10.0" style="5"/>
    <col min="1299" max="1299" customWidth="1" bestFit="1" width="10.0" style="5"/>
    <col min="1300" max="1300" customWidth="1" bestFit="1" width="10.0" style="5"/>
    <col min="1301" max="1301" customWidth="1" bestFit="1" width="10.0" style="5"/>
    <col min="1302" max="1302" customWidth="1" bestFit="1" width="10.0" style="5"/>
    <col min="1303" max="1303" customWidth="1" bestFit="1" width="10.0" style="5"/>
    <col min="1304" max="1304" customWidth="1" bestFit="1" width="10.0" style="5"/>
    <col min="1305" max="1305" customWidth="1" bestFit="1" width="10.0" style="5"/>
    <col min="1306" max="1306" customWidth="1" bestFit="1" width="10.0" style="5"/>
    <col min="1307" max="1307" customWidth="1" bestFit="1" width="10.0" style="5"/>
    <col min="1308" max="1308" customWidth="1" bestFit="1" width="10.0" style="5"/>
    <col min="1309" max="1309" customWidth="1" bestFit="1" width="10.0" style="5"/>
    <col min="1310" max="1310" customWidth="1" bestFit="1" width="10.0" style="5"/>
    <col min="1311" max="1311" customWidth="1" bestFit="1" width="10.0" style="5"/>
    <col min="1312" max="1312" customWidth="1" bestFit="1" width="10.0" style="5"/>
    <col min="1313" max="1313" customWidth="1" bestFit="1" width="10.0" style="5"/>
    <col min="1314" max="1314" customWidth="1" bestFit="1" width="10.0" style="5"/>
    <col min="1315" max="1315" customWidth="1" bestFit="1" width="10.0" style="5"/>
    <col min="1316" max="1316" customWidth="1" bestFit="1" width="10.0" style="5"/>
    <col min="1317" max="1317" customWidth="1" bestFit="1" width="10.0" style="5"/>
    <col min="1318" max="1318" customWidth="1" bestFit="1" width="10.0" style="5"/>
    <col min="1319" max="1319" customWidth="1" bestFit="1" width="10.0" style="5"/>
    <col min="1320" max="1320" customWidth="1" bestFit="1" width="10.0" style="5"/>
    <col min="1321" max="1321" customWidth="1" bestFit="1" width="10.0" style="5"/>
    <col min="1322" max="1322" customWidth="1" bestFit="1" width="10.0" style="5"/>
    <col min="1323" max="1323" customWidth="1" bestFit="1" width="10.0" style="5"/>
    <col min="1324" max="1324" customWidth="1" bestFit="1" width="10.0" style="5"/>
    <col min="1325" max="1325" customWidth="1" bestFit="1" width="10.0" style="5"/>
    <col min="1326" max="1326" customWidth="1" bestFit="1" width="10.0" style="5"/>
    <col min="1327" max="1327" customWidth="1" bestFit="1" width="10.0" style="5"/>
    <col min="1328" max="1328" customWidth="1" bestFit="1" width="10.0" style="5"/>
    <col min="1329" max="1329" customWidth="1" bestFit="1" width="10.0" style="5"/>
    <col min="1330" max="1330" customWidth="1" bestFit="1" width="10.0" style="5"/>
    <col min="1331" max="1331" customWidth="1" bestFit="1" width="10.0" style="5"/>
    <col min="1332" max="1332" customWidth="1" bestFit="1" width="10.0" style="5"/>
    <col min="1333" max="1333" customWidth="1" bestFit="1" width="10.0" style="5"/>
    <col min="1334" max="1334" customWidth="1" bestFit="1" width="10.0" style="5"/>
    <col min="1335" max="1335" customWidth="1" bestFit="1" width="10.0" style="5"/>
    <col min="1336" max="1336" customWidth="1" bestFit="1" width="10.0" style="5"/>
    <col min="1337" max="1337" customWidth="1" bestFit="1" width="10.0" style="5"/>
    <col min="1338" max="1338" customWidth="1" bestFit="1" width="10.0" style="5"/>
    <col min="1339" max="1339" customWidth="1" bestFit="1" width="10.0" style="5"/>
    <col min="1340" max="1340" customWidth="1" bestFit="1" width="10.0" style="5"/>
    <col min="1341" max="1341" customWidth="1" bestFit="1" width="10.0" style="5"/>
    <col min="1342" max="1342" customWidth="1" bestFit="1" width="10.0" style="5"/>
    <col min="1343" max="1343" customWidth="1" bestFit="1" width="10.0" style="5"/>
    <col min="1344" max="1344" customWidth="1" bestFit="1" width="10.0" style="5"/>
    <col min="1345" max="1345" customWidth="1" bestFit="1" width="10.0" style="5"/>
    <col min="1346" max="1346" customWidth="1" bestFit="1" width="10.0" style="5"/>
    <col min="1347" max="1347" customWidth="1" bestFit="1" width="10.0" style="5"/>
    <col min="1348" max="1348" customWidth="1" bestFit="1" width="10.0" style="5"/>
    <col min="1349" max="1349" customWidth="1" bestFit="1" width="10.0" style="5"/>
    <col min="1350" max="1350" customWidth="1" bestFit="1" width="10.0" style="5"/>
    <col min="1351" max="1351" customWidth="1" bestFit="1" width="10.0" style="5"/>
    <col min="1352" max="1352" customWidth="1" bestFit="1" width="10.0" style="5"/>
    <col min="1353" max="1353" customWidth="1" bestFit="1" width="10.0" style="5"/>
    <col min="1354" max="1354" customWidth="1" bestFit="1" width="10.0" style="5"/>
    <col min="1355" max="1355" customWidth="1" bestFit="1" width="10.0" style="5"/>
    <col min="1356" max="1356" customWidth="1" bestFit="1" width="10.0" style="5"/>
    <col min="1357" max="1357" customWidth="1" bestFit="1" width="10.0" style="5"/>
    <col min="1358" max="1358" customWidth="1" bestFit="1" width="10.0" style="5"/>
    <col min="1359" max="1359" customWidth="1" bestFit="1" width="10.0" style="5"/>
    <col min="1360" max="1360" customWidth="1" bestFit="1" width="10.0" style="5"/>
    <col min="1361" max="1361" customWidth="1" bestFit="1" width="10.0" style="5"/>
    <col min="1362" max="1362" customWidth="1" bestFit="1" width="10.0" style="5"/>
    <col min="1363" max="1363" customWidth="1" bestFit="1" width="10.0" style="5"/>
    <col min="1364" max="1364" customWidth="1" bestFit="1" width="10.0" style="5"/>
    <col min="1365" max="1365" customWidth="1" bestFit="1" width="10.0" style="5"/>
    <col min="1366" max="1366" customWidth="1" bestFit="1" width="10.0" style="5"/>
    <col min="1367" max="1367" customWidth="1" bestFit="1" width="10.0" style="5"/>
    <col min="1368" max="1368" customWidth="1" bestFit="1" width="10.0" style="5"/>
    <col min="1369" max="1369" customWidth="1" bestFit="1" width="10.0" style="5"/>
    <col min="1370" max="1370" customWidth="1" bestFit="1" width="10.0" style="5"/>
    <col min="1371" max="1371" customWidth="1" bestFit="1" width="10.0" style="5"/>
    <col min="1372" max="1372" customWidth="1" bestFit="1" width="10.0" style="5"/>
    <col min="1373" max="1373" customWidth="1" bestFit="1" width="10.0" style="5"/>
    <col min="1374" max="1374" customWidth="1" bestFit="1" width="10.0" style="5"/>
    <col min="1375" max="1375" customWidth="1" bestFit="1" width="10.0" style="5"/>
    <col min="1376" max="1376" customWidth="1" bestFit="1" width="10.0" style="5"/>
    <col min="1377" max="1377" customWidth="1" bestFit="1" width="10.0" style="5"/>
    <col min="1378" max="1378" customWidth="1" bestFit="1" width="10.0" style="5"/>
    <col min="1379" max="1379" customWidth="1" bestFit="1" width="10.0" style="5"/>
    <col min="1380" max="1380" customWidth="1" bestFit="1" width="10.0" style="5"/>
    <col min="1381" max="1381" customWidth="1" bestFit="1" width="10.0" style="5"/>
    <col min="1382" max="1382" customWidth="1" bestFit="1" width="10.0" style="5"/>
    <col min="1383" max="1383" customWidth="1" bestFit="1" width="10.0" style="5"/>
    <col min="1384" max="1384" customWidth="1" bestFit="1" width="10.0" style="5"/>
    <col min="1385" max="1385" customWidth="1" bestFit="1" width="10.0" style="5"/>
    <col min="1386" max="1386" customWidth="1" bestFit="1" width="10.0" style="5"/>
    <col min="1387" max="1387" customWidth="1" bestFit="1" width="10.0" style="5"/>
    <col min="1388" max="1388" customWidth="1" bestFit="1" width="10.0" style="5"/>
    <col min="1389" max="1389" customWidth="1" bestFit="1" width="10.0" style="5"/>
    <col min="1390" max="1390" customWidth="1" bestFit="1" width="10.0" style="5"/>
    <col min="1391" max="1391" customWidth="1" bestFit="1" width="10.0" style="5"/>
    <col min="1392" max="1392" customWidth="1" bestFit="1" width="10.0" style="5"/>
    <col min="1393" max="1393" customWidth="1" bestFit="1" width="10.0" style="5"/>
    <col min="1394" max="1394" customWidth="1" bestFit="1" width="10.0" style="5"/>
    <col min="1395" max="1395" customWidth="1" bestFit="1" width="10.0" style="5"/>
    <col min="1396" max="1396" customWidth="1" bestFit="1" width="10.0" style="5"/>
    <col min="1397" max="1397" customWidth="1" bestFit="1" width="10.0" style="5"/>
    <col min="1398" max="1398" customWidth="1" bestFit="1" width="10.0" style="5"/>
    <col min="1399" max="1399" customWidth="1" bestFit="1" width="10.0" style="5"/>
    <col min="1400" max="1400" customWidth="1" bestFit="1" width="10.0" style="5"/>
    <col min="1401" max="1401" customWidth="1" bestFit="1" width="10.0" style="5"/>
    <col min="1402" max="1402" customWidth="1" bestFit="1" width="10.0" style="5"/>
    <col min="1403" max="1403" customWidth="1" bestFit="1" width="10.0" style="5"/>
    <col min="1404" max="1404" customWidth="1" bestFit="1" width="10.0" style="5"/>
    <col min="1405" max="1405" customWidth="1" bestFit="1" width="10.0" style="5"/>
    <col min="1406" max="1406" customWidth="1" bestFit="1" width="10.0" style="5"/>
    <col min="1407" max="1407" customWidth="1" bestFit="1" width="10.0" style="5"/>
    <col min="1408" max="1408" customWidth="1" bestFit="1" width="10.0" style="5"/>
    <col min="1409" max="1409" customWidth="1" bestFit="1" width="10.0" style="5"/>
    <col min="1410" max="1410" customWidth="1" bestFit="1" width="10.0" style="5"/>
    <col min="1411" max="1411" customWidth="1" bestFit="1" width="10.0" style="5"/>
    <col min="1412" max="1412" customWidth="1" bestFit="1" width="10.0" style="5"/>
    <col min="1413" max="1413" customWidth="1" bestFit="1" width="10.0" style="5"/>
    <col min="1414" max="1414" customWidth="1" bestFit="1" width="10.0" style="5"/>
    <col min="1415" max="1415" customWidth="1" bestFit="1" width="10.0" style="5"/>
    <col min="1416" max="1416" customWidth="1" bestFit="1" width="10.0" style="5"/>
    <col min="1417" max="1417" customWidth="1" bestFit="1" width="10.0" style="5"/>
    <col min="1418" max="1418" customWidth="1" bestFit="1" width="10.0" style="5"/>
    <col min="1419" max="1419" customWidth="1" bestFit="1" width="10.0" style="5"/>
    <col min="1420" max="1420" customWidth="1" bestFit="1" width="10.0" style="5"/>
    <col min="1421" max="1421" customWidth="1" bestFit="1" width="10.0" style="5"/>
    <col min="1422" max="1422" customWidth="1" bestFit="1" width="10.0" style="5"/>
    <col min="1423" max="1423" customWidth="1" bestFit="1" width="10.0" style="5"/>
    <col min="1424" max="1424" customWidth="1" bestFit="1" width="10.0" style="5"/>
    <col min="1425" max="1425" customWidth="1" bestFit="1" width="10.0" style="5"/>
    <col min="1426" max="1426" customWidth="1" bestFit="1" width="10.0" style="5"/>
    <col min="1427" max="1427" customWidth="1" bestFit="1" width="10.0" style="5"/>
    <col min="1428" max="1428" customWidth="1" bestFit="1" width="10.0" style="5"/>
    <col min="1429" max="1429" customWidth="1" bestFit="1" width="10.0" style="5"/>
    <col min="1430" max="1430" customWidth="1" bestFit="1" width="10.0" style="5"/>
    <col min="1431" max="1431" customWidth="1" bestFit="1" width="10.0" style="5"/>
    <col min="1432" max="1432" customWidth="1" bestFit="1" width="10.0" style="5"/>
    <col min="1433" max="1433" customWidth="1" bestFit="1" width="10.0" style="5"/>
    <col min="1434" max="1434" customWidth="1" bestFit="1" width="10.0" style="5"/>
    <col min="1435" max="1435" customWidth="1" bestFit="1" width="10.0" style="5"/>
    <col min="1436" max="1436" customWidth="1" bestFit="1" width="10.0" style="5"/>
    <col min="1437" max="1437" customWidth="1" bestFit="1" width="10.0" style="5"/>
    <col min="1438" max="1438" customWidth="1" bestFit="1" width="10.0" style="5"/>
    <col min="1439" max="1439" customWidth="1" bestFit="1" width="10.0" style="5"/>
    <col min="1440" max="1440" customWidth="1" bestFit="1" width="10.0" style="5"/>
    <col min="1441" max="1441" customWidth="1" bestFit="1" width="10.0" style="5"/>
    <col min="1442" max="1442" customWidth="1" bestFit="1" width="10.0" style="5"/>
    <col min="1443" max="1443" customWidth="1" bestFit="1" width="10.0" style="5"/>
    <col min="1444" max="1444" customWidth="1" bestFit="1" width="10.0" style="5"/>
    <col min="1445" max="1445" customWidth="1" bestFit="1" width="10.0" style="5"/>
    <col min="1446" max="1446" customWidth="1" bestFit="1" width="10.0" style="5"/>
    <col min="1447" max="1447" customWidth="1" bestFit="1" width="10.0" style="5"/>
    <col min="1448" max="1448" customWidth="1" bestFit="1" width="10.0" style="5"/>
    <col min="1449" max="1449" customWidth="1" bestFit="1" width="10.0" style="5"/>
    <col min="1450" max="1450" customWidth="1" bestFit="1" width="10.0" style="5"/>
    <col min="1451" max="1451" customWidth="1" bestFit="1" width="10.0" style="5"/>
    <col min="1452" max="1452" customWidth="1" bestFit="1" width="10.0" style="5"/>
    <col min="1453" max="1453" customWidth="1" bestFit="1" width="10.0" style="5"/>
    <col min="1454" max="1454" customWidth="1" bestFit="1" width="10.0" style="5"/>
    <col min="1455" max="1455" customWidth="1" bestFit="1" width="10.0" style="5"/>
    <col min="1456" max="1456" customWidth="1" bestFit="1" width="10.0" style="5"/>
    <col min="1457" max="1457" customWidth="1" bestFit="1" width="10.0" style="5"/>
    <col min="1458" max="1458" customWidth="1" bestFit="1" width="10.0" style="5"/>
    <col min="1459" max="1459" customWidth="1" bestFit="1" width="10.0" style="5"/>
    <col min="1460" max="1460" customWidth="1" bestFit="1" width="10.0" style="5"/>
    <col min="1461" max="1461" customWidth="1" bestFit="1" width="10.0" style="5"/>
    <col min="1462" max="1462" customWidth="1" bestFit="1" width="10.0" style="5"/>
    <col min="1463" max="1463" customWidth="1" bestFit="1" width="10.0" style="5"/>
    <col min="1464" max="1464" customWidth="1" bestFit="1" width="10.0" style="5"/>
    <col min="1465" max="1465" customWidth="1" bestFit="1" width="10.0" style="5"/>
    <col min="1466" max="1466" customWidth="1" bestFit="1" width="10.0" style="5"/>
    <col min="1467" max="1467" customWidth="1" bestFit="1" width="10.0" style="5"/>
    <col min="1468" max="1468" customWidth="1" bestFit="1" width="10.0" style="5"/>
    <col min="1469" max="1469" customWidth="1" bestFit="1" width="10.0" style="5"/>
    <col min="1470" max="1470" customWidth="1" bestFit="1" width="10.0" style="5"/>
    <col min="1471" max="1471" customWidth="1" bestFit="1" width="10.0" style="5"/>
    <col min="1472" max="1472" customWidth="1" bestFit="1" width="10.0" style="5"/>
    <col min="1473" max="1473" customWidth="1" bestFit="1" width="10.0" style="5"/>
    <col min="1474" max="1474" customWidth="1" bestFit="1" width="10.0" style="5"/>
    <col min="1475" max="1475" customWidth="1" bestFit="1" width="10.0" style="5"/>
    <col min="1476" max="1476" customWidth="1" bestFit="1" width="10.0" style="5"/>
    <col min="1477" max="1477" customWidth="1" bestFit="1" width="10.0" style="5"/>
    <col min="1478" max="1478" customWidth="1" bestFit="1" width="10.0" style="5"/>
    <col min="1479" max="1479" customWidth="1" bestFit="1" width="10.0" style="5"/>
    <col min="1480" max="1480" customWidth="1" bestFit="1" width="10.0" style="5"/>
    <col min="1481" max="1481" customWidth="1" bestFit="1" width="10.0" style="5"/>
    <col min="1482" max="1482" customWidth="1" bestFit="1" width="10.0" style="5"/>
    <col min="1483" max="1483" customWidth="1" bestFit="1" width="10.0" style="5"/>
    <col min="1484" max="1484" customWidth="1" bestFit="1" width="10.0" style="5"/>
    <col min="1485" max="1485" customWidth="1" bestFit="1" width="10.0" style="5"/>
    <col min="1486" max="1486" customWidth="1" bestFit="1" width="10.0" style="5"/>
    <col min="1487" max="1487" customWidth="1" bestFit="1" width="10.0" style="5"/>
    <col min="1488" max="1488" customWidth="1" bestFit="1" width="10.0" style="5"/>
    <col min="1489" max="1489" customWidth="1" bestFit="1" width="10.0" style="5"/>
    <col min="1490" max="1490" customWidth="1" bestFit="1" width="10.0" style="5"/>
    <col min="1491" max="1491" customWidth="1" bestFit="1" width="10.0" style="5"/>
    <col min="1492" max="1492" customWidth="1" bestFit="1" width="10.0" style="5"/>
    <col min="1493" max="1493" customWidth="1" bestFit="1" width="10.0" style="5"/>
    <col min="1494" max="1494" customWidth="1" bestFit="1" width="10.0" style="5"/>
    <col min="1495" max="1495" customWidth="1" bestFit="1" width="10.0" style="5"/>
    <col min="1496" max="1496" customWidth="1" bestFit="1" width="10.0" style="5"/>
    <col min="1497" max="1497" customWidth="1" bestFit="1" width="10.0" style="5"/>
    <col min="1498" max="1498" customWidth="1" bestFit="1" width="10.0" style="5"/>
    <col min="1499" max="1499" customWidth="1" bestFit="1" width="10.0" style="5"/>
    <col min="1500" max="1500" customWidth="1" bestFit="1" width="10.0" style="5"/>
    <col min="1501" max="1501" customWidth="1" bestFit="1" width="10.0" style="5"/>
    <col min="1502" max="1502" customWidth="1" bestFit="1" width="10.0" style="5"/>
    <col min="1503" max="1503" customWidth="1" bestFit="1" width="10.0" style="5"/>
    <col min="1504" max="1504" customWidth="1" bestFit="1" width="10.0" style="5"/>
    <col min="1505" max="1505" customWidth="1" bestFit="1" width="10.0" style="5"/>
    <col min="1506" max="1506" customWidth="1" bestFit="1" width="10.0" style="5"/>
    <col min="1507" max="1507" customWidth="1" bestFit="1" width="10.0" style="5"/>
    <col min="1508" max="1508" customWidth="1" bestFit="1" width="10.0" style="5"/>
    <col min="1509" max="1509" customWidth="1" bestFit="1" width="10.0" style="5"/>
    <col min="1510" max="1510" customWidth="1" bestFit="1" width="10.0" style="5"/>
    <col min="1511" max="1511" customWidth="1" bestFit="1" width="10.0" style="5"/>
    <col min="1512" max="1512" customWidth="1" bestFit="1" width="10.0" style="5"/>
    <col min="1513" max="1513" customWidth="1" bestFit="1" width="10.0" style="5"/>
    <col min="1514" max="1514" customWidth="1" bestFit="1" width="10.0" style="5"/>
    <col min="1515" max="1515" customWidth="1" bestFit="1" width="10.0" style="5"/>
    <col min="1516" max="1516" customWidth="1" bestFit="1" width="10.0" style="5"/>
    <col min="1517" max="1517" customWidth="1" bestFit="1" width="10.0" style="5"/>
    <col min="1518" max="1518" customWidth="1" bestFit="1" width="10.0" style="5"/>
    <col min="1519" max="1519" customWidth="1" bestFit="1" width="10.0" style="5"/>
    <col min="1520" max="1520" customWidth="1" bestFit="1" width="10.0" style="5"/>
    <col min="1521" max="1521" customWidth="1" bestFit="1" width="10.0" style="5"/>
    <col min="1522" max="1522" customWidth="1" bestFit="1" width="10.0" style="5"/>
    <col min="1523" max="1523" customWidth="1" bestFit="1" width="10.0" style="5"/>
    <col min="1524" max="1524" customWidth="1" bestFit="1" width="10.0" style="5"/>
    <col min="1525" max="1525" customWidth="1" bestFit="1" width="10.0" style="5"/>
    <col min="1526" max="1526" customWidth="1" bestFit="1" width="10.0" style="5"/>
    <col min="1527" max="1527" customWidth="1" bestFit="1" width="10.0" style="5"/>
    <col min="1528" max="1528" customWidth="1" bestFit="1" width="10.0" style="5"/>
    <col min="1529" max="1529" customWidth="1" bestFit="1" width="10.0" style="5"/>
    <col min="1530" max="1530" customWidth="1" bestFit="1" width="10.0" style="5"/>
    <col min="1531" max="1531" customWidth="1" bestFit="1" width="10.0" style="5"/>
    <col min="1532" max="1532" customWidth="1" bestFit="1" width="10.0" style="5"/>
    <col min="1533" max="1533" customWidth="1" bestFit="1" width="10.0" style="5"/>
    <col min="1534" max="1534" customWidth="1" bestFit="1" width="10.0" style="5"/>
    <col min="1535" max="1535" customWidth="1" bestFit="1" width="10.0" style="5"/>
    <col min="1536" max="1536" customWidth="1" bestFit="1" width="10.0" style="5"/>
    <col min="1537" max="1537" customWidth="1" bestFit="1" width="10.0" style="5"/>
    <col min="1538" max="1538" customWidth="1" bestFit="1" width="10.0" style="5"/>
    <col min="1539" max="1539" customWidth="1" bestFit="1" width="10.0" style="5"/>
    <col min="1540" max="1540" customWidth="1" bestFit="1" width="10.0" style="5"/>
    <col min="1541" max="1541" customWidth="1" bestFit="1" width="10.0" style="5"/>
    <col min="1542" max="1542" customWidth="1" bestFit="1" width="10.0" style="5"/>
    <col min="1543" max="1543" customWidth="1" bestFit="1" width="10.0" style="5"/>
    <col min="1544" max="1544" customWidth="1" bestFit="1" width="10.0" style="5"/>
    <col min="1545" max="1545" customWidth="1" bestFit="1" width="10.0" style="5"/>
    <col min="1546" max="1546" customWidth="1" bestFit="1" width="10.0" style="5"/>
    <col min="1547" max="1547" customWidth="1" bestFit="1" width="10.0" style="5"/>
    <col min="1548" max="1548" customWidth="1" bestFit="1" width="10.0" style="5"/>
    <col min="1549" max="1549" customWidth="1" bestFit="1" width="10.0" style="5"/>
    <col min="1550" max="1550" customWidth="1" bestFit="1" width="10.0" style="5"/>
    <col min="1551" max="1551" customWidth="1" bestFit="1" width="10.0" style="5"/>
    <col min="1552" max="1552" customWidth="1" bestFit="1" width="10.0" style="5"/>
    <col min="1553" max="1553" customWidth="1" bestFit="1" width="10.0" style="5"/>
    <col min="1554" max="1554" customWidth="1" bestFit="1" width="10.0" style="5"/>
    <col min="1555" max="1555" customWidth="1" bestFit="1" width="10.0" style="5"/>
    <col min="1556" max="1556" customWidth="1" bestFit="1" width="10.0" style="5"/>
    <col min="1557" max="1557" customWidth="1" bestFit="1" width="10.0" style="5"/>
    <col min="1558" max="1558" customWidth="1" bestFit="1" width="10.0" style="5"/>
    <col min="1559" max="1559" customWidth="1" bestFit="1" width="10.0" style="5"/>
    <col min="1560" max="1560" customWidth="1" bestFit="1" width="10.0" style="5"/>
    <col min="1561" max="1561" customWidth="1" bestFit="1" width="10.0" style="5"/>
    <col min="1562" max="1562" customWidth="1" bestFit="1" width="10.0" style="5"/>
    <col min="1563" max="1563" customWidth="1" bestFit="1" width="10.0" style="5"/>
    <col min="1564" max="1564" customWidth="1" bestFit="1" width="10.0" style="5"/>
    <col min="1565" max="1565" customWidth="1" bestFit="1" width="10.0" style="5"/>
    <col min="1566" max="1566" customWidth="1" bestFit="1" width="10.0" style="5"/>
    <col min="1567" max="1567" customWidth="1" bestFit="1" width="10.0" style="5"/>
    <col min="1568" max="1568" customWidth="1" bestFit="1" width="10.0" style="5"/>
    <col min="1569" max="1569" customWidth="1" bestFit="1" width="10.0" style="5"/>
    <col min="1570" max="1570" customWidth="1" bestFit="1" width="10.0" style="5"/>
    <col min="1571" max="1571" customWidth="1" bestFit="1" width="10.0" style="5"/>
    <col min="1572" max="1572" customWidth="1" bestFit="1" width="10.0" style="5"/>
    <col min="1573" max="1573" customWidth="1" bestFit="1" width="10.0" style="5"/>
    <col min="1574" max="1574" customWidth="1" bestFit="1" width="10.0" style="5"/>
    <col min="1575" max="1575" customWidth="1" bestFit="1" width="10.0" style="5"/>
    <col min="1576" max="1576" customWidth="1" bestFit="1" width="10.0" style="5"/>
    <col min="1577" max="1577" customWidth="1" bestFit="1" width="10.0" style="5"/>
    <col min="1578" max="1578" customWidth="1" bestFit="1" width="10.0" style="5"/>
    <col min="1579" max="1579" customWidth="1" bestFit="1" width="10.0" style="5"/>
    <col min="1580" max="1580" customWidth="1" bestFit="1" width="10.0" style="5"/>
    <col min="1581" max="1581" customWidth="1" bestFit="1" width="10.0" style="5"/>
    <col min="1582" max="1582" customWidth="1" bestFit="1" width="10.0" style="5"/>
    <col min="1583" max="1583" customWidth="1" bestFit="1" width="10.0" style="5"/>
    <col min="1584" max="1584" customWidth="1" bestFit="1" width="10.0" style="5"/>
    <col min="1585" max="1585" customWidth="1" bestFit="1" width="10.0" style="5"/>
    <col min="1586" max="1586" customWidth="1" bestFit="1" width="10.0" style="5"/>
    <col min="1587" max="1587" customWidth="1" bestFit="1" width="10.0" style="5"/>
    <col min="1588" max="1588" customWidth="1" bestFit="1" width="10.0" style="5"/>
    <col min="1589" max="1589" customWidth="1" bestFit="1" width="10.0" style="5"/>
    <col min="1590" max="1590" customWidth="1" bestFit="1" width="10.0" style="5"/>
    <col min="1591" max="1591" customWidth="1" bestFit="1" width="10.0" style="5"/>
    <col min="1592" max="1592" customWidth="1" bestFit="1" width="10.0" style="5"/>
    <col min="1593" max="1593" customWidth="1" bestFit="1" width="10.0" style="5"/>
    <col min="1594" max="1594" customWidth="1" bestFit="1" width="10.0" style="5"/>
    <col min="1595" max="1595" customWidth="1" bestFit="1" width="10.0" style="5"/>
    <col min="1596" max="1596" customWidth="1" bestFit="1" width="10.0" style="5"/>
    <col min="1597" max="1597" customWidth="1" bestFit="1" width="10.0" style="5"/>
    <col min="1598" max="1598" customWidth="1" bestFit="1" width="10.0" style="5"/>
    <col min="1599" max="1599" customWidth="1" bestFit="1" width="10.0" style="5"/>
    <col min="1600" max="1600" customWidth="1" bestFit="1" width="10.0" style="5"/>
    <col min="1601" max="1601" customWidth="1" bestFit="1" width="10.0" style="5"/>
    <col min="1602" max="1602" customWidth="1" bestFit="1" width="10.0" style="5"/>
    <col min="1603" max="1603" customWidth="1" bestFit="1" width="10.0" style="5"/>
    <col min="1604" max="1604" customWidth="1" bestFit="1" width="10.0" style="5"/>
    <col min="1605" max="1605" customWidth="1" bestFit="1" width="10.0" style="5"/>
    <col min="1606" max="1606" customWidth="1" bestFit="1" width="10.0" style="5"/>
    <col min="1607" max="1607" customWidth="1" bestFit="1" width="10.0" style="5"/>
    <col min="1608" max="1608" customWidth="1" bestFit="1" width="10.0" style="5"/>
    <col min="1609" max="1609" customWidth="1" bestFit="1" width="10.0" style="5"/>
    <col min="1610" max="1610" customWidth="1" bestFit="1" width="10.0" style="5"/>
    <col min="1611" max="1611" customWidth="1" bestFit="1" width="10.0" style="5"/>
    <col min="1612" max="1612" customWidth="1" bestFit="1" width="10.0" style="5"/>
    <col min="1613" max="1613" customWidth="1" bestFit="1" width="10.0" style="5"/>
    <col min="1614" max="1614" customWidth="1" bestFit="1" width="10.0" style="5"/>
    <col min="1615" max="1615" customWidth="1" bestFit="1" width="10.0" style="5"/>
    <col min="1616" max="1616" customWidth="1" bestFit="1" width="10.0" style="5"/>
    <col min="1617" max="1617" customWidth="1" bestFit="1" width="10.0" style="5"/>
    <col min="1618" max="1618" customWidth="1" bestFit="1" width="10.0" style="5"/>
    <col min="1619" max="1619" customWidth="1" bestFit="1" width="10.0" style="5"/>
    <col min="1620" max="1620" customWidth="1" bestFit="1" width="10.0" style="5"/>
    <col min="1621" max="1621" customWidth="1" bestFit="1" width="10.0" style="5"/>
    <col min="1622" max="1622" customWidth="1" bestFit="1" width="10.0" style="5"/>
    <col min="1623" max="1623" customWidth="1" bestFit="1" width="10.0" style="5"/>
    <col min="1624" max="1624" customWidth="1" bestFit="1" width="10.0" style="5"/>
    <col min="1625" max="1625" customWidth="1" bestFit="1" width="10.0" style="5"/>
    <col min="1626" max="1626" customWidth="1" bestFit="1" width="10.0" style="5"/>
    <col min="1627" max="1627" customWidth="1" bestFit="1" width="10.0" style="5"/>
    <col min="1628" max="1628" customWidth="1" bestFit="1" width="10.0" style="5"/>
    <col min="1629" max="1629" customWidth="1" bestFit="1" width="10.0" style="5"/>
    <col min="1630" max="1630" customWidth="1" bestFit="1" width="10.0" style="5"/>
    <col min="1631" max="1631" customWidth="1" bestFit="1" width="10.0" style="5"/>
    <col min="1632" max="1632" customWidth="1" bestFit="1" width="10.0" style="5"/>
    <col min="1633" max="1633" customWidth="1" bestFit="1" width="10.0" style="5"/>
    <col min="1634" max="1634" customWidth="1" bestFit="1" width="10.0" style="5"/>
    <col min="1635" max="1635" customWidth="1" bestFit="1" width="10.0" style="5"/>
    <col min="1636" max="1636" customWidth="1" bestFit="1" width="10.0" style="5"/>
    <col min="1637" max="1637" customWidth="1" bestFit="1" width="10.0" style="5"/>
    <col min="1638" max="1638" customWidth="1" bestFit="1" width="10.0" style="5"/>
    <col min="1639" max="1639" customWidth="1" bestFit="1" width="10.0" style="5"/>
    <col min="1640" max="1640" customWidth="1" bestFit="1" width="10.0" style="5"/>
    <col min="1641" max="1641" customWidth="1" bestFit="1" width="10.0" style="5"/>
    <col min="1642" max="1642" customWidth="1" bestFit="1" width="10.0" style="5"/>
    <col min="1643" max="1643" customWidth="1" bestFit="1" width="10.0" style="5"/>
    <col min="1644" max="1644" customWidth="1" bestFit="1" width="10.0" style="5"/>
    <col min="1645" max="1645" customWidth="1" bestFit="1" width="10.0" style="5"/>
    <col min="1646" max="1646" customWidth="1" bestFit="1" width="10.0" style="5"/>
    <col min="1647" max="1647" customWidth="1" bestFit="1" width="10.0" style="5"/>
    <col min="1648" max="1648" customWidth="1" bestFit="1" width="10.0" style="5"/>
    <col min="1649" max="1649" customWidth="1" bestFit="1" width="10.0" style="5"/>
    <col min="1650" max="1650" customWidth="1" bestFit="1" width="10.0" style="5"/>
    <col min="1651" max="1651" customWidth="1" bestFit="1" width="10.0" style="5"/>
    <col min="1652" max="1652" customWidth="1" bestFit="1" width="10.0" style="5"/>
    <col min="1653" max="1653" customWidth="1" bestFit="1" width="10.0" style="5"/>
    <col min="1654" max="1654" customWidth="1" bestFit="1" width="10.0" style="5"/>
    <col min="1655" max="1655" customWidth="1" bestFit="1" width="10.0" style="5"/>
    <col min="1656" max="1656" customWidth="1" bestFit="1" width="10.0" style="5"/>
    <col min="1657" max="1657" customWidth="1" bestFit="1" width="10.0" style="5"/>
    <col min="1658" max="1658" customWidth="1" bestFit="1" width="10.0" style="5"/>
    <col min="1659" max="1659" customWidth="1" bestFit="1" width="10.0" style="5"/>
    <col min="1660" max="1660" customWidth="1" bestFit="1" width="10.0" style="5"/>
    <col min="1661" max="1661" customWidth="1" bestFit="1" width="10.0" style="5"/>
    <col min="1662" max="1662" customWidth="1" bestFit="1" width="10.0" style="5"/>
    <col min="1663" max="1663" customWidth="1" bestFit="1" width="10.0" style="5"/>
    <col min="1664" max="1664" customWidth="1" bestFit="1" width="10.0" style="5"/>
    <col min="1665" max="1665" customWidth="1" bestFit="1" width="10.0" style="5"/>
    <col min="1666" max="1666" customWidth="1" bestFit="1" width="10.0" style="5"/>
    <col min="1667" max="1667" customWidth="1" bestFit="1" width="10.0" style="5"/>
    <col min="1668" max="1668" customWidth="1" bestFit="1" width="10.0" style="5"/>
    <col min="1669" max="1669" customWidth="1" bestFit="1" width="10.0" style="5"/>
    <col min="1670" max="1670" customWidth="1" bestFit="1" width="10.0" style="5"/>
    <col min="1671" max="1671" customWidth="1" bestFit="1" width="10.0" style="5"/>
    <col min="1672" max="1672" customWidth="1" bestFit="1" width="10.0" style="5"/>
    <col min="1673" max="1673" customWidth="1" bestFit="1" width="10.0" style="5"/>
    <col min="1674" max="1674" customWidth="1" bestFit="1" width="10.0" style="5"/>
    <col min="1675" max="1675" customWidth="1" bestFit="1" width="10.0" style="5"/>
    <col min="1676" max="1676" customWidth="1" bestFit="1" width="10.0" style="5"/>
    <col min="1677" max="1677" customWidth="1" bestFit="1" width="10.0" style="5"/>
    <col min="1678" max="1678" customWidth="1" bestFit="1" width="10.0" style="5"/>
    <col min="1679" max="1679" customWidth="1" bestFit="1" width="10.0" style="5"/>
    <col min="1680" max="1680" customWidth="1" bestFit="1" width="10.0" style="5"/>
    <col min="1681" max="1681" customWidth="1" bestFit="1" width="10.0" style="5"/>
    <col min="1682" max="1682" customWidth="1" bestFit="1" width="10.0" style="5"/>
    <col min="1683" max="1683" customWidth="1" bestFit="1" width="10.0" style="5"/>
    <col min="1684" max="1684" customWidth="1" bestFit="1" width="10.0" style="5"/>
    <col min="1685" max="1685" customWidth="1" bestFit="1" width="10.0" style="5"/>
    <col min="1686" max="1686" customWidth="1" bestFit="1" width="10.0" style="5"/>
    <col min="1687" max="1687" customWidth="1" bestFit="1" width="10.0" style="5"/>
    <col min="1688" max="1688" customWidth="1" bestFit="1" width="10.0" style="5"/>
    <col min="1689" max="1689" customWidth="1" bestFit="1" width="10.0" style="5"/>
    <col min="1690" max="1690" customWidth="1" bestFit="1" width="10.0" style="5"/>
    <col min="1691" max="1691" customWidth="1" bestFit="1" width="10.0" style="5"/>
    <col min="1692" max="1692" customWidth="1" bestFit="1" width="10.0" style="5"/>
    <col min="1693" max="1693" customWidth="1" bestFit="1" width="10.0" style="5"/>
    <col min="1694" max="1694" customWidth="1" bestFit="1" width="10.0" style="5"/>
    <col min="1695" max="1695" customWidth="1" bestFit="1" width="10.0" style="5"/>
    <col min="1696" max="1696" customWidth="1" bestFit="1" width="10.0" style="5"/>
    <col min="1697" max="1697" customWidth="1" bestFit="1" width="10.0" style="5"/>
    <col min="1698" max="1698" customWidth="1" bestFit="1" width="10.0" style="5"/>
    <col min="1699" max="1699" customWidth="1" bestFit="1" width="10.0" style="5"/>
    <col min="1700" max="1700" customWidth="1" bestFit="1" width="10.0" style="5"/>
    <col min="1701" max="1701" customWidth="1" bestFit="1" width="10.0" style="5"/>
    <col min="1702" max="1702" customWidth="1" bestFit="1" width="10.0" style="5"/>
    <col min="1703" max="1703" customWidth="1" bestFit="1" width="10.0" style="5"/>
    <col min="1704" max="1704" customWidth="1" bestFit="1" width="10.0" style="5"/>
    <col min="1705" max="1705" customWidth="1" bestFit="1" width="10.0" style="5"/>
    <col min="1706" max="1706" customWidth="1" bestFit="1" width="10.0" style="5"/>
    <col min="1707" max="1707" customWidth="1" bestFit="1" width="10.0" style="5"/>
    <col min="1708" max="1708" customWidth="1" bestFit="1" width="10.0" style="5"/>
    <col min="1709" max="1709" customWidth="1" bestFit="1" width="10.0" style="5"/>
    <col min="1710" max="1710" customWidth="1" bestFit="1" width="10.0" style="5"/>
    <col min="1711" max="1711" customWidth="1" bestFit="1" width="10.0" style="5"/>
    <col min="1712" max="1712" customWidth="1" bestFit="1" width="10.0" style="5"/>
    <col min="1713" max="1713" customWidth="1" bestFit="1" width="10.0" style="5"/>
    <col min="1714" max="1714" customWidth="1" bestFit="1" width="10.0" style="5"/>
    <col min="1715" max="1715" customWidth="1" bestFit="1" width="10.0" style="5"/>
    <col min="1716" max="1716" customWidth="1" bestFit="1" width="10.0" style="5"/>
    <col min="1717" max="1717" customWidth="1" bestFit="1" width="10.0" style="5"/>
    <col min="1718" max="1718" customWidth="1" bestFit="1" width="10.0" style="5"/>
    <col min="1719" max="1719" customWidth="1" bestFit="1" width="10.0" style="5"/>
    <col min="1720" max="1720" customWidth="1" bestFit="1" width="10.0" style="5"/>
    <col min="1721" max="1721" customWidth="1" bestFit="1" width="10.0" style="5"/>
    <col min="1722" max="1722" customWidth="1" bestFit="1" width="10.0" style="5"/>
    <col min="1723" max="1723" customWidth="1" bestFit="1" width="10.0" style="5"/>
    <col min="1724" max="1724" customWidth="1" bestFit="1" width="10.0" style="5"/>
    <col min="1725" max="1725" customWidth="1" bestFit="1" width="10.0" style="5"/>
    <col min="1726" max="1726" customWidth="1" bestFit="1" width="10.0" style="5"/>
    <col min="1727" max="1727" customWidth="1" bestFit="1" width="10.0" style="5"/>
    <col min="1728" max="1728" customWidth="1" bestFit="1" width="10.0" style="5"/>
    <col min="1729" max="1729" customWidth="1" bestFit="1" width="10.0" style="5"/>
    <col min="1730" max="1730" customWidth="1" bestFit="1" width="10.0" style="5"/>
    <col min="1731" max="1731" customWidth="1" bestFit="1" width="10.0" style="5"/>
    <col min="1732" max="1732" customWidth="1" bestFit="1" width="10.0" style="5"/>
    <col min="1733" max="1733" customWidth="1" bestFit="1" width="10.0" style="5"/>
    <col min="1734" max="1734" customWidth="1" bestFit="1" width="10.0" style="5"/>
    <col min="1735" max="1735" customWidth="1" bestFit="1" width="10.0" style="5"/>
    <col min="1736" max="1736" customWidth="1" bestFit="1" width="10.0" style="5"/>
    <col min="1737" max="1737" customWidth="1" bestFit="1" width="10.0" style="5"/>
    <col min="1738" max="1738" customWidth="1" bestFit="1" width="10.0" style="5"/>
    <col min="1739" max="1739" customWidth="1" bestFit="1" width="10.0" style="5"/>
    <col min="1740" max="1740" customWidth="1" bestFit="1" width="10.0" style="5"/>
    <col min="1741" max="1741" customWidth="1" bestFit="1" width="10.0" style="5"/>
    <col min="1742" max="1742" customWidth="1" bestFit="1" width="10.0" style="5"/>
    <col min="1743" max="1743" customWidth="1" bestFit="1" width="10.0" style="5"/>
    <col min="1744" max="1744" customWidth="1" bestFit="1" width="10.0" style="5"/>
    <col min="1745" max="1745" customWidth="1" bestFit="1" width="10.0" style="5"/>
    <col min="1746" max="1746" customWidth="1" bestFit="1" width="10.0" style="5"/>
    <col min="1747" max="1747" customWidth="1" bestFit="1" width="10.0" style="5"/>
    <col min="1748" max="1748" customWidth="1" bestFit="1" width="10.0" style="5"/>
    <col min="1749" max="1749" customWidth="1" bestFit="1" width="10.0" style="5"/>
    <col min="1750" max="1750" customWidth="1" bestFit="1" width="10.0" style="5"/>
    <col min="1751" max="1751" customWidth="1" bestFit="1" width="10.0" style="5"/>
    <col min="1752" max="1752" customWidth="1" bestFit="1" width="10.0" style="5"/>
    <col min="1753" max="1753" customWidth="1" bestFit="1" width="10.0" style="5"/>
    <col min="1754" max="1754" customWidth="1" bestFit="1" width="10.0" style="5"/>
    <col min="1755" max="1755" customWidth="1" bestFit="1" width="10.0" style="5"/>
    <col min="1756" max="1756" customWidth="1" bestFit="1" width="10.0" style="5"/>
    <col min="1757" max="1757" customWidth="1" bestFit="1" width="10.0" style="5"/>
    <col min="1758" max="1758" customWidth="1" bestFit="1" width="10.0" style="5"/>
    <col min="1759" max="1759" customWidth="1" bestFit="1" width="10.0" style="5"/>
    <col min="1760" max="1760" customWidth="1" bestFit="1" width="10.0" style="5"/>
    <col min="1761" max="1761" customWidth="1" bestFit="1" width="10.0" style="5"/>
    <col min="1762" max="1762" customWidth="1" bestFit="1" width="10.0" style="5"/>
    <col min="1763" max="1763" customWidth="1" bestFit="1" width="10.0" style="5"/>
    <col min="1764" max="1764" customWidth="1" bestFit="1" width="10.0" style="5"/>
    <col min="1765" max="1765" customWidth="1" bestFit="1" width="10.0" style="5"/>
    <col min="1766" max="1766" customWidth="1" bestFit="1" width="10.0" style="5"/>
    <col min="1767" max="1767" customWidth="1" bestFit="1" width="10.0" style="5"/>
    <col min="1768" max="1768" customWidth="1" bestFit="1" width="10.0" style="5"/>
    <col min="1769" max="1769" customWidth="1" bestFit="1" width="10.0" style="5"/>
    <col min="1770" max="1770" customWidth="1" bestFit="1" width="10.0" style="5"/>
    <col min="1771" max="1771" customWidth="1" bestFit="1" width="10.0" style="5"/>
    <col min="1772" max="1772" customWidth="1" bestFit="1" width="10.0" style="5"/>
    <col min="1773" max="1773" customWidth="1" bestFit="1" width="10.0" style="5"/>
    <col min="1774" max="1774" customWidth="1" bestFit="1" width="10.0" style="5"/>
    <col min="1775" max="1775" customWidth="1" bestFit="1" width="10.0" style="5"/>
    <col min="1776" max="1776" customWidth="1" bestFit="1" width="10.0" style="5"/>
    <col min="1777" max="1777" customWidth="1" bestFit="1" width="10.0" style="5"/>
    <col min="1778" max="1778" customWidth="1" bestFit="1" width="10.0" style="5"/>
    <col min="1779" max="1779" customWidth="1" bestFit="1" width="10.0" style="5"/>
    <col min="1780" max="1780" customWidth="1" bestFit="1" width="10.0" style="5"/>
    <col min="1781" max="1781" customWidth="1" bestFit="1" width="10.0" style="5"/>
    <col min="1782" max="1782" customWidth="1" bestFit="1" width="10.0" style="5"/>
    <col min="1783" max="1783" customWidth="1" bestFit="1" width="10.0" style="5"/>
    <col min="1784" max="1784" customWidth="1" bestFit="1" width="10.0" style="5"/>
    <col min="1785" max="1785" customWidth="1" bestFit="1" width="10.0" style="5"/>
    <col min="1786" max="1786" customWidth="1" bestFit="1" width="10.0" style="5"/>
    <col min="1787" max="1787" customWidth="1" bestFit="1" width="10.0" style="5"/>
    <col min="1788" max="1788" customWidth="1" bestFit="1" width="10.0" style="5"/>
    <col min="1789" max="1789" customWidth="1" bestFit="1" width="10.0" style="5"/>
    <col min="1790" max="1790" customWidth="1" bestFit="1" width="10.0" style="5"/>
    <col min="1791" max="1791" customWidth="1" bestFit="1" width="10.0" style="5"/>
    <col min="1792" max="1792" customWidth="1" bestFit="1" width="10.0" style="5"/>
    <col min="1793" max="1793" customWidth="1" bestFit="1" width="10.0" style="5"/>
    <col min="1794" max="1794" customWidth="1" bestFit="1" width="10.0" style="5"/>
    <col min="1795" max="1795" customWidth="1" bestFit="1" width="10.0" style="5"/>
    <col min="1796" max="1796" customWidth="1" bestFit="1" width="10.0" style="5"/>
    <col min="1797" max="1797" customWidth="1" bestFit="1" width="10.0" style="5"/>
    <col min="1798" max="1798" customWidth="1" bestFit="1" width="10.0" style="5"/>
    <col min="1799" max="1799" customWidth="1" bestFit="1" width="10.0" style="5"/>
    <col min="1800" max="1800" customWidth="1" bestFit="1" width="10.0" style="5"/>
    <col min="1801" max="1801" customWidth="1" bestFit="1" width="10.0" style="5"/>
    <col min="1802" max="1802" customWidth="1" bestFit="1" width="10.0" style="5"/>
    <col min="1803" max="1803" customWidth="1" bestFit="1" width="10.0" style="5"/>
    <col min="1804" max="1804" customWidth="1" bestFit="1" width="10.0" style="5"/>
    <col min="1805" max="1805" customWidth="1" bestFit="1" width="10.0" style="5"/>
    <col min="1806" max="1806" customWidth="1" bestFit="1" width="10.0" style="5"/>
    <col min="1807" max="1807" customWidth="1" bestFit="1" width="10.0" style="5"/>
    <col min="1808" max="1808" customWidth="1" bestFit="1" width="10.0" style="5"/>
    <col min="1809" max="1809" customWidth="1" bestFit="1" width="10.0" style="5"/>
    <col min="1810" max="1810" customWidth="1" bestFit="1" width="10.0" style="5"/>
    <col min="1811" max="1811" customWidth="1" bestFit="1" width="10.0" style="5"/>
    <col min="1812" max="1812" customWidth="1" bestFit="1" width="10.0" style="5"/>
    <col min="1813" max="1813" customWidth="1" bestFit="1" width="10.0" style="5"/>
    <col min="1814" max="1814" customWidth="1" bestFit="1" width="10.0" style="5"/>
    <col min="1815" max="1815" customWidth="1" bestFit="1" width="10.0" style="5"/>
    <col min="1816" max="1816" customWidth="1" bestFit="1" width="10.0" style="5"/>
    <col min="1817" max="1817" customWidth="1" bestFit="1" width="10.0" style="5"/>
    <col min="1818" max="1818" customWidth="1" bestFit="1" width="10.0" style="5"/>
    <col min="1819" max="1819" customWidth="1" bestFit="1" width="10.0" style="5"/>
    <col min="1820" max="1820" customWidth="1" bestFit="1" width="10.0" style="5"/>
    <col min="1821" max="1821" customWidth="1" bestFit="1" width="10.0" style="5"/>
    <col min="1822" max="1822" customWidth="1" bestFit="1" width="10.0" style="5"/>
    <col min="1823" max="1823" customWidth="1" bestFit="1" width="10.0" style="5"/>
    <col min="1824" max="1824" customWidth="1" bestFit="1" width="10.0" style="5"/>
    <col min="1825" max="1825" customWidth="1" bestFit="1" width="10.0" style="5"/>
    <col min="1826" max="1826" customWidth="1" bestFit="1" width="10.0" style="5"/>
    <col min="1827" max="1827" customWidth="1" bestFit="1" width="10.0" style="5"/>
    <col min="1828" max="1828" customWidth="1" bestFit="1" width="10.0" style="5"/>
    <col min="1829" max="1829" customWidth="1" bestFit="1" width="10.0" style="5"/>
    <col min="1830" max="1830" customWidth="1" bestFit="1" width="10.0" style="5"/>
    <col min="1831" max="1831" customWidth="1" bestFit="1" width="10.0" style="5"/>
    <col min="1832" max="1832" customWidth="1" bestFit="1" width="10.0" style="5"/>
    <col min="1833" max="1833" customWidth="1" bestFit="1" width="10.0" style="5"/>
    <col min="1834" max="1834" customWidth="1" bestFit="1" width="10.0" style="5"/>
    <col min="1835" max="1835" customWidth="1" bestFit="1" width="10.0" style="5"/>
    <col min="1836" max="1836" customWidth="1" bestFit="1" width="10.0" style="5"/>
    <col min="1837" max="1837" customWidth="1" bestFit="1" width="10.0" style="5"/>
    <col min="1838" max="1838" customWidth="1" bestFit="1" width="10.0" style="5"/>
    <col min="1839" max="1839" customWidth="1" bestFit="1" width="10.0" style="5"/>
    <col min="1840" max="1840" customWidth="1" bestFit="1" width="10.0" style="5"/>
    <col min="1841" max="1841" customWidth="1" bestFit="1" width="10.0" style="5"/>
    <col min="1842" max="1842" customWidth="1" bestFit="1" width="10.0" style="5"/>
    <col min="1843" max="1843" customWidth="1" bestFit="1" width="10.0" style="5"/>
    <col min="1844" max="1844" customWidth="1" bestFit="1" width="10.0" style="5"/>
    <col min="1845" max="1845" customWidth="1" bestFit="1" width="10.0" style="5"/>
    <col min="1846" max="1846" customWidth="1" bestFit="1" width="10.0" style="5"/>
    <col min="1847" max="1847" customWidth="1" bestFit="1" width="10.0" style="5"/>
    <col min="1848" max="1848" customWidth="1" bestFit="1" width="10.0" style="5"/>
    <col min="1849" max="1849" customWidth="1" bestFit="1" width="10.0" style="5"/>
    <col min="1850" max="1850" customWidth="1" bestFit="1" width="10.0" style="5"/>
    <col min="1851" max="1851" customWidth="1" bestFit="1" width="10.0" style="5"/>
    <col min="1852" max="1852" customWidth="1" bestFit="1" width="10.0" style="5"/>
    <col min="1853" max="1853" customWidth="1" bestFit="1" width="10.0" style="5"/>
    <col min="1854" max="1854" customWidth="1" bestFit="1" width="10.0" style="5"/>
    <col min="1855" max="1855" customWidth="1" bestFit="1" width="10.0" style="5"/>
    <col min="1856" max="1856" customWidth="1" bestFit="1" width="10.0" style="5"/>
    <col min="1857" max="1857" customWidth="1" bestFit="1" width="10.0" style="5"/>
    <col min="1858" max="1858" customWidth="1" bestFit="1" width="10.0" style="5"/>
    <col min="1859" max="1859" customWidth="1" bestFit="1" width="10.0" style="5"/>
    <col min="1860" max="1860" customWidth="1" bestFit="1" width="10.0" style="5"/>
    <col min="1861" max="1861" customWidth="1" bestFit="1" width="10.0" style="5"/>
    <col min="1862" max="1862" customWidth="1" bestFit="1" width="10.0" style="5"/>
    <col min="1863" max="1863" customWidth="1" bestFit="1" width="10.0" style="5"/>
    <col min="1864" max="1864" customWidth="1" bestFit="1" width="10.0" style="5"/>
    <col min="1865" max="1865" customWidth="1" bestFit="1" width="10.0" style="5"/>
    <col min="1866" max="1866" customWidth="1" bestFit="1" width="10.0" style="5"/>
    <col min="1867" max="1867" customWidth="1" bestFit="1" width="10.0" style="5"/>
    <col min="1868" max="1868" customWidth="1" bestFit="1" width="10.0" style="5"/>
    <col min="1869" max="1869" customWidth="1" bestFit="1" width="10.0" style="5"/>
    <col min="1870" max="1870" customWidth="1" bestFit="1" width="10.0" style="5"/>
    <col min="1871" max="1871" customWidth="1" bestFit="1" width="10.0" style="5"/>
    <col min="1872" max="1872" customWidth="1" bestFit="1" width="10.0" style="5"/>
    <col min="1873" max="1873" customWidth="1" bestFit="1" width="10.0" style="5"/>
    <col min="1874" max="1874" customWidth="1" bestFit="1" width="10.0" style="5"/>
    <col min="1875" max="1875" customWidth="1" bestFit="1" width="10.0" style="5"/>
    <col min="1876" max="1876" customWidth="1" bestFit="1" width="10.0" style="5"/>
    <col min="1877" max="1877" customWidth="1" bestFit="1" width="10.0" style="5"/>
    <col min="1878" max="1878" customWidth="1" bestFit="1" width="10.0" style="5"/>
    <col min="1879" max="1879" customWidth="1" bestFit="1" width="10.0" style="5"/>
    <col min="1880" max="1880" customWidth="1" bestFit="1" width="10.0" style="5"/>
    <col min="1881" max="1881" customWidth="1" bestFit="1" width="10.0" style="5"/>
    <col min="1882" max="1882" customWidth="1" bestFit="1" width="10.0" style="5"/>
    <col min="1883" max="1883" customWidth="1" bestFit="1" width="10.0" style="5"/>
    <col min="1884" max="1884" customWidth="1" bestFit="1" width="10.0" style="5"/>
    <col min="1885" max="1885" customWidth="1" bestFit="1" width="10.0" style="5"/>
    <col min="1886" max="1886" customWidth="1" bestFit="1" width="10.0" style="5"/>
    <col min="1887" max="1887" customWidth="1" bestFit="1" width="10.0" style="5"/>
    <col min="1888" max="1888" customWidth="1" bestFit="1" width="10.0" style="5"/>
    <col min="1889" max="1889" customWidth="1" bestFit="1" width="10.0" style="5"/>
    <col min="1890" max="1890" customWidth="1" bestFit="1" width="10.0" style="5"/>
    <col min="1891" max="1891" customWidth="1" bestFit="1" width="10.0" style="5"/>
    <col min="1892" max="1892" customWidth="1" bestFit="1" width="10.0" style="5"/>
    <col min="1893" max="1893" customWidth="1" bestFit="1" width="10.0" style="5"/>
    <col min="1894" max="1894" customWidth="1" bestFit="1" width="10.0" style="5"/>
    <col min="1895" max="1895" customWidth="1" bestFit="1" width="10.0" style="5"/>
    <col min="1896" max="1896" customWidth="1" bestFit="1" width="10.0" style="5"/>
    <col min="1897" max="1897" customWidth="1" bestFit="1" width="10.0" style="5"/>
    <col min="1898" max="1898" customWidth="1" bestFit="1" width="10.0" style="5"/>
    <col min="1899" max="1899" customWidth="1" bestFit="1" width="10.0" style="5"/>
    <col min="1900" max="1900" customWidth="1" bestFit="1" width="10.0" style="5"/>
    <col min="1901" max="1901" customWidth="1" bestFit="1" width="10.0" style="5"/>
    <col min="1902" max="1902" customWidth="1" bestFit="1" width="10.0" style="5"/>
    <col min="1903" max="1903" customWidth="1" bestFit="1" width="10.0" style="5"/>
    <col min="1904" max="1904" customWidth="1" bestFit="1" width="10.0" style="5"/>
    <col min="1905" max="1905" customWidth="1" bestFit="1" width="10.0" style="5"/>
    <col min="1906" max="1906" customWidth="1" bestFit="1" width="10.0" style="5"/>
    <col min="1907" max="1907" customWidth="1" bestFit="1" width="10.0" style="5"/>
    <col min="1908" max="1908" customWidth="1" bestFit="1" width="10.0" style="5"/>
    <col min="1909" max="1909" customWidth="1" bestFit="1" width="10.0" style="5"/>
    <col min="1910" max="1910" customWidth="1" bestFit="1" width="10.0" style="5"/>
    <col min="1911" max="1911" customWidth="1" bestFit="1" width="10.0" style="5"/>
    <col min="1912" max="1912" customWidth="1" bestFit="1" width="10.0" style="5"/>
    <col min="1913" max="1913" customWidth="1" bestFit="1" width="10.0" style="5"/>
    <col min="1914" max="1914" customWidth="1" bestFit="1" width="10.0" style="5"/>
    <col min="1915" max="1915" customWidth="1" bestFit="1" width="10.0" style="5"/>
    <col min="1916" max="1916" customWidth="1" bestFit="1" width="10.0" style="5"/>
    <col min="1917" max="1917" customWidth="1" bestFit="1" width="10.0" style="5"/>
    <col min="1918" max="1918" customWidth="1" bestFit="1" width="10.0" style="5"/>
    <col min="1919" max="1919" customWidth="1" bestFit="1" width="10.0" style="5"/>
    <col min="1920" max="1920" customWidth="1" bestFit="1" width="10.0" style="5"/>
    <col min="1921" max="1921" customWidth="1" bestFit="1" width="10.0" style="5"/>
    <col min="1922" max="1922" customWidth="1" bestFit="1" width="10.0" style="5"/>
    <col min="1923" max="1923" customWidth="1" bestFit="1" width="10.0" style="5"/>
    <col min="1924" max="1924" customWidth="1" bestFit="1" width="10.0" style="5"/>
    <col min="1925" max="1925" customWidth="1" bestFit="1" width="10.0" style="5"/>
    <col min="1926" max="1926" customWidth="1" bestFit="1" width="10.0" style="5"/>
    <col min="1927" max="1927" customWidth="1" bestFit="1" width="10.0" style="5"/>
    <col min="1928" max="1928" customWidth="1" bestFit="1" width="10.0" style="5"/>
    <col min="1929" max="1929" customWidth="1" bestFit="1" width="10.0" style="5"/>
    <col min="1930" max="1930" customWidth="1" bestFit="1" width="10.0" style="5"/>
    <col min="1931" max="1931" customWidth="1" bestFit="1" width="10.0" style="5"/>
    <col min="1932" max="1932" customWidth="1" bestFit="1" width="10.0" style="5"/>
    <col min="1933" max="1933" customWidth="1" bestFit="1" width="10.0" style="5"/>
    <col min="1934" max="1934" customWidth="1" bestFit="1" width="10.0" style="5"/>
    <col min="1935" max="1935" customWidth="1" bestFit="1" width="10.0" style="5"/>
    <col min="1936" max="1936" customWidth="1" bestFit="1" width="10.0" style="5"/>
    <col min="1937" max="1937" customWidth="1" bestFit="1" width="10.0" style="5"/>
    <col min="1938" max="1938" customWidth="1" bestFit="1" width="10.0" style="5"/>
    <col min="1939" max="1939" customWidth="1" bestFit="1" width="10.0" style="5"/>
    <col min="1940" max="1940" customWidth="1" bestFit="1" width="10.0" style="5"/>
    <col min="1941" max="1941" customWidth="1" bestFit="1" width="10.0" style="5"/>
    <col min="1942" max="1942" customWidth="1" bestFit="1" width="10.0" style="5"/>
    <col min="1943" max="1943" customWidth="1" bestFit="1" width="10.0" style="5"/>
    <col min="1944" max="1944" customWidth="1" bestFit="1" width="10.0" style="5"/>
    <col min="1945" max="1945" customWidth="1" bestFit="1" width="10.0" style="5"/>
    <col min="1946" max="1946" customWidth="1" bestFit="1" width="10.0" style="5"/>
    <col min="1947" max="1947" customWidth="1" bestFit="1" width="10.0" style="5"/>
    <col min="1948" max="1948" customWidth="1" bestFit="1" width="10.0" style="5"/>
    <col min="1949" max="1949" customWidth="1" bestFit="1" width="10.0" style="5"/>
    <col min="1950" max="1950" customWidth="1" bestFit="1" width="10.0" style="5"/>
    <col min="1951" max="1951" customWidth="1" bestFit="1" width="10.0" style="5"/>
    <col min="1952" max="1952" customWidth="1" bestFit="1" width="10.0" style="5"/>
    <col min="1953" max="1953" customWidth="1" bestFit="1" width="10.0" style="5"/>
    <col min="1954" max="1954" customWidth="1" bestFit="1" width="10.0" style="5"/>
    <col min="1955" max="1955" customWidth="1" bestFit="1" width="10.0" style="5"/>
    <col min="1956" max="1956" customWidth="1" bestFit="1" width="10.0" style="5"/>
    <col min="1957" max="1957" customWidth="1" bestFit="1" width="10.0" style="5"/>
    <col min="1958" max="1958" customWidth="1" bestFit="1" width="10.0" style="5"/>
    <col min="1959" max="1959" customWidth="1" bestFit="1" width="10.0" style="5"/>
    <col min="1960" max="1960" customWidth="1" bestFit="1" width="10.0" style="5"/>
    <col min="1961" max="1961" customWidth="1" bestFit="1" width="10.0" style="5"/>
    <col min="1962" max="1962" customWidth="1" bestFit="1" width="10.0" style="5"/>
    <col min="1963" max="1963" customWidth="1" bestFit="1" width="10.0" style="5"/>
    <col min="1964" max="1964" customWidth="1" bestFit="1" width="10.0" style="5"/>
    <col min="1965" max="1965" customWidth="1" bestFit="1" width="10.0" style="5"/>
    <col min="1966" max="1966" customWidth="1" bestFit="1" width="10.0" style="5"/>
    <col min="1967" max="1967" customWidth="1" bestFit="1" width="10.0" style="5"/>
    <col min="1968" max="1968" customWidth="1" bestFit="1" width="10.0" style="5"/>
    <col min="1969" max="1969" customWidth="1" bestFit="1" width="10.0" style="5"/>
    <col min="1970" max="1970" customWidth="1" bestFit="1" width="10.0" style="5"/>
    <col min="1971" max="1971" customWidth="1" bestFit="1" width="10.0" style="5"/>
    <col min="1972" max="1972" customWidth="1" bestFit="1" width="10.0" style="5"/>
    <col min="1973" max="1973" customWidth="1" bestFit="1" width="10.0" style="5"/>
    <col min="1974" max="1974" customWidth="1" bestFit="1" width="10.0" style="5"/>
    <col min="1975" max="1975" customWidth="1" bestFit="1" width="10.0" style="5"/>
    <col min="1976" max="1976" customWidth="1" bestFit="1" width="10.0" style="5"/>
    <col min="1977" max="1977" customWidth="1" bestFit="1" width="10.0" style="5"/>
    <col min="1978" max="1978" customWidth="1" bestFit="1" width="10.0" style="5"/>
    <col min="1979" max="1979" customWidth="1" bestFit="1" width="10.0" style="5"/>
    <col min="1980" max="1980" customWidth="1" bestFit="1" width="10.0" style="5"/>
    <col min="1981" max="1981" customWidth="1" bestFit="1" width="10.0" style="5"/>
    <col min="1982" max="1982" customWidth="1" bestFit="1" width="10.0" style="5"/>
    <col min="1983" max="1983" customWidth="1" bestFit="1" width="10.0" style="5"/>
    <col min="1984" max="1984" customWidth="1" bestFit="1" width="10.0" style="5"/>
    <col min="1985" max="1985" customWidth="1" bestFit="1" width="10.0" style="5"/>
    <col min="1986" max="1986" customWidth="1" bestFit="1" width="10.0" style="5"/>
    <col min="1987" max="1987" customWidth="1" bestFit="1" width="10.0" style="5"/>
    <col min="1988" max="1988" customWidth="1" bestFit="1" width="10.0" style="5"/>
    <col min="1989" max="1989" customWidth="1" bestFit="1" width="10.0" style="5"/>
    <col min="1990" max="1990" customWidth="1" bestFit="1" width="10.0" style="5"/>
    <col min="1991" max="1991" customWidth="1" bestFit="1" width="10.0" style="5"/>
    <col min="1992" max="1992" customWidth="1" bestFit="1" width="10.0" style="5"/>
    <col min="1993" max="1993" customWidth="1" bestFit="1" width="10.0" style="5"/>
    <col min="1994" max="1994" customWidth="1" bestFit="1" width="10.0" style="5"/>
    <col min="1995" max="1995" customWidth="1" bestFit="1" width="10.0" style="5"/>
    <col min="1996" max="1996" customWidth="1" bestFit="1" width="10.0" style="5"/>
    <col min="1997" max="1997" customWidth="1" bestFit="1" width="10.0" style="5"/>
    <col min="1998" max="1998" customWidth="1" bestFit="1" width="10.0" style="5"/>
    <col min="1999" max="1999" customWidth="1" bestFit="1" width="10.0" style="5"/>
    <col min="2000" max="2000" customWidth="1" bestFit="1" width="10.0" style="5"/>
    <col min="2001" max="2001" customWidth="1" bestFit="1" width="10.0" style="5"/>
    <col min="2002" max="2002" customWidth="1" bestFit="1" width="10.0" style="5"/>
    <col min="2003" max="2003" customWidth="1" bestFit="1" width="10.0" style="5"/>
    <col min="2004" max="2004" customWidth="1" bestFit="1" width="10.0" style="5"/>
    <col min="2005" max="2005" customWidth="1" bestFit="1" width="10.0" style="5"/>
    <col min="2006" max="2006" customWidth="1" bestFit="1" width="10.0" style="5"/>
    <col min="2007" max="2007" customWidth="1" bestFit="1" width="10.0" style="5"/>
    <col min="2008" max="2008" customWidth="1" bestFit="1" width="10.0" style="5"/>
    <col min="2009" max="2009" customWidth="1" bestFit="1" width="10.0" style="5"/>
    <col min="2010" max="2010" customWidth="1" bestFit="1" width="10.0" style="5"/>
    <col min="2011" max="2011" customWidth="1" bestFit="1" width="10.0" style="5"/>
    <col min="2012" max="2012" customWidth="1" bestFit="1" width="10.0" style="5"/>
    <col min="2013" max="2013" customWidth="1" bestFit="1" width="10.0" style="5"/>
    <col min="2014" max="2014" customWidth="1" bestFit="1" width="10.0" style="5"/>
    <col min="2015" max="2015" customWidth="1" bestFit="1" width="10.0" style="5"/>
    <col min="2016" max="2016" customWidth="1" bestFit="1" width="10.0" style="5"/>
    <col min="2017" max="2017" customWidth="1" bestFit="1" width="10.0" style="5"/>
    <col min="2018" max="2018" customWidth="1" bestFit="1" width="10.0" style="5"/>
    <col min="2019" max="2019" customWidth="1" bestFit="1" width="10.0" style="5"/>
    <col min="2020" max="2020" customWidth="1" bestFit="1" width="10.0" style="5"/>
    <col min="2021" max="2021" customWidth="1" bestFit="1" width="10.0" style="5"/>
    <col min="2022" max="2022" customWidth="1" bestFit="1" width="10.0" style="5"/>
    <col min="2023" max="2023" customWidth="1" bestFit="1" width="10.0" style="5"/>
    <col min="2024" max="2024" customWidth="1" bestFit="1" width="10.0" style="5"/>
    <col min="2025" max="2025" customWidth="1" bestFit="1" width="10.0" style="5"/>
    <col min="2026" max="2026" customWidth="1" bestFit="1" width="10.0" style="5"/>
    <col min="2027" max="2027" customWidth="1" bestFit="1" width="10.0" style="5"/>
    <col min="2028" max="2028" customWidth="1" bestFit="1" width="10.0" style="5"/>
    <col min="2029" max="2029" customWidth="1" bestFit="1" width="10.0" style="5"/>
    <col min="2030" max="2030" customWidth="1" bestFit="1" width="10.0" style="5"/>
    <col min="2031" max="2031" customWidth="1" bestFit="1" width="10.0" style="5"/>
    <col min="2032" max="2032" customWidth="1" bestFit="1" width="10.0" style="5"/>
    <col min="2033" max="2033" customWidth="1" bestFit="1" width="10.0" style="5"/>
    <col min="2034" max="2034" customWidth="1" bestFit="1" width="10.0" style="5"/>
    <col min="2035" max="2035" customWidth="1" bestFit="1" width="10.0" style="5"/>
    <col min="2036" max="2036" customWidth="1" bestFit="1" width="10.0" style="5"/>
    <col min="2037" max="2037" customWidth="1" bestFit="1" width="10.0" style="5"/>
    <col min="2038" max="2038" customWidth="1" bestFit="1" width="10.0" style="5"/>
    <col min="2039" max="2039" customWidth="1" bestFit="1" width="10.0" style="5"/>
    <col min="2040" max="2040" customWidth="1" bestFit="1" width="10.0" style="5"/>
    <col min="2041" max="2041" customWidth="1" bestFit="1" width="10.0" style="5"/>
    <col min="2042" max="2042" customWidth="1" bestFit="1" width="10.0" style="5"/>
    <col min="2043" max="2043" customWidth="1" bestFit="1" width="10.0" style="5"/>
    <col min="2044" max="2044" customWidth="1" bestFit="1" width="10.0" style="5"/>
    <col min="2045" max="2045" customWidth="1" bestFit="1" width="10.0" style="5"/>
    <col min="2046" max="2046" customWidth="1" bestFit="1" width="10.0" style="5"/>
    <col min="2047" max="2047" customWidth="1" bestFit="1" width="10.0" style="5"/>
    <col min="2048" max="2048" customWidth="1" bestFit="1" width="10.0" style="5"/>
    <col min="2049" max="2049" customWidth="1" bestFit="1" width="10.0" style="5"/>
    <col min="2050" max="2050" customWidth="1" bestFit="1" width="10.0" style="5"/>
    <col min="2051" max="2051" customWidth="1" bestFit="1" width="10.0" style="5"/>
    <col min="2052" max="2052" customWidth="1" bestFit="1" width="10.0" style="5"/>
    <col min="2053" max="2053" customWidth="1" bestFit="1" width="10.0" style="5"/>
    <col min="2054" max="2054" customWidth="1" bestFit="1" width="10.0" style="5"/>
    <col min="2055" max="2055" customWidth="1" bestFit="1" width="10.0" style="5"/>
    <col min="2056" max="2056" customWidth="1" bestFit="1" width="10.0" style="5"/>
    <col min="2057" max="2057" customWidth="1" bestFit="1" width="10.0" style="5"/>
    <col min="2058" max="2058" customWidth="1" bestFit="1" width="10.0" style="5"/>
    <col min="2059" max="2059" customWidth="1" bestFit="1" width="10.0" style="5"/>
    <col min="2060" max="2060" customWidth="1" bestFit="1" width="10.0" style="5"/>
    <col min="2061" max="2061" customWidth="1" bestFit="1" width="10.0" style="5"/>
    <col min="2062" max="2062" customWidth="1" bestFit="1" width="10.0" style="5"/>
    <col min="2063" max="2063" customWidth="1" bestFit="1" width="10.0" style="5"/>
    <col min="2064" max="2064" customWidth="1" bestFit="1" width="10.0" style="5"/>
    <col min="2065" max="2065" customWidth="1" bestFit="1" width="10.0" style="5"/>
    <col min="2066" max="2066" customWidth="1" bestFit="1" width="10.0" style="5"/>
    <col min="2067" max="2067" customWidth="1" bestFit="1" width="10.0" style="5"/>
    <col min="2068" max="2068" customWidth="1" bestFit="1" width="10.0" style="5"/>
    <col min="2069" max="2069" customWidth="1" bestFit="1" width="10.0" style="5"/>
    <col min="2070" max="2070" customWidth="1" bestFit="1" width="10.0" style="5"/>
    <col min="2071" max="2071" customWidth="1" bestFit="1" width="10.0" style="5"/>
    <col min="2072" max="2072" customWidth="1" bestFit="1" width="10.0" style="5"/>
    <col min="2073" max="2073" customWidth="1" bestFit="1" width="10.0" style="5"/>
    <col min="2074" max="2074" customWidth="1" bestFit="1" width="10.0" style="5"/>
    <col min="2075" max="2075" customWidth="1" bestFit="1" width="10.0" style="5"/>
    <col min="2076" max="2076" customWidth="1" bestFit="1" width="10.0" style="5"/>
    <col min="2077" max="2077" customWidth="1" bestFit="1" width="10.0" style="5"/>
    <col min="2078" max="2078" customWidth="1" bestFit="1" width="10.0" style="5"/>
    <col min="2079" max="2079" customWidth="1" bestFit="1" width="10.0" style="5"/>
    <col min="2080" max="2080" customWidth="1" bestFit="1" width="10.0" style="5"/>
    <col min="2081" max="2081" customWidth="1" bestFit="1" width="10.0" style="5"/>
    <col min="2082" max="2082" customWidth="1" bestFit="1" width="10.0" style="5"/>
    <col min="2083" max="2083" customWidth="1" bestFit="1" width="10.0" style="5"/>
    <col min="2084" max="2084" customWidth="1" bestFit="1" width="10.0" style="5"/>
    <col min="2085" max="2085" customWidth="1" bestFit="1" width="10.0" style="5"/>
    <col min="2086" max="2086" customWidth="1" bestFit="1" width="10.0" style="5"/>
    <col min="2087" max="2087" customWidth="1" bestFit="1" width="10.0" style="5"/>
    <col min="2088" max="2088" customWidth="1" bestFit="1" width="10.0" style="5"/>
    <col min="2089" max="2089" customWidth="1" bestFit="1" width="10.0" style="5"/>
    <col min="2090" max="2090" customWidth="1" bestFit="1" width="10.0" style="5"/>
    <col min="2091" max="2091" customWidth="1" bestFit="1" width="10.0" style="5"/>
    <col min="2092" max="2092" customWidth="1" bestFit="1" width="10.0" style="5"/>
    <col min="2093" max="2093" customWidth="1" bestFit="1" width="10.0" style="5"/>
    <col min="2094" max="2094" customWidth="1" bestFit="1" width="10.0" style="5"/>
    <col min="2095" max="2095" customWidth="1" bestFit="1" width="10.0" style="5"/>
    <col min="2096" max="2096" customWidth="1" bestFit="1" width="10.0" style="5"/>
    <col min="2097" max="2097" customWidth="1" bestFit="1" width="10.0" style="5"/>
    <col min="2098" max="2098" customWidth="1" bestFit="1" width="10.0" style="5"/>
    <col min="2099" max="2099" customWidth="1" bestFit="1" width="10.0" style="5"/>
    <col min="2100" max="2100" customWidth="1" bestFit="1" width="10.0" style="5"/>
    <col min="2101" max="2101" customWidth="1" bestFit="1" width="10.0" style="5"/>
    <col min="2102" max="2102" customWidth="1" bestFit="1" width="10.0" style="5"/>
    <col min="2103" max="2103" customWidth="1" bestFit="1" width="10.0" style="5"/>
    <col min="2104" max="2104" customWidth="1" bestFit="1" width="10.0" style="5"/>
    <col min="2105" max="2105" customWidth="1" bestFit="1" width="10.0" style="5"/>
    <col min="2106" max="2106" customWidth="1" bestFit="1" width="10.0" style="5"/>
    <col min="2107" max="2107" customWidth="1" bestFit="1" width="10.0" style="5"/>
    <col min="2108" max="2108" customWidth="1" bestFit="1" width="10.0" style="5"/>
    <col min="2109" max="2109" customWidth="1" bestFit="1" width="10.0" style="5"/>
    <col min="2110" max="2110" customWidth="1" bestFit="1" width="10.0" style="5"/>
    <col min="2111" max="2111" customWidth="1" bestFit="1" width="10.0" style="5"/>
    <col min="2112" max="2112" customWidth="1" bestFit="1" width="10.0" style="5"/>
    <col min="2113" max="2113" customWidth="1" bestFit="1" width="10.0" style="5"/>
    <col min="2114" max="2114" customWidth="1" bestFit="1" width="10.0" style="5"/>
    <col min="2115" max="2115" customWidth="1" bestFit="1" width="10.0" style="5"/>
    <col min="2116" max="2116" customWidth="1" bestFit="1" width="10.0" style="5"/>
    <col min="2117" max="2117" customWidth="1" bestFit="1" width="10.0" style="5"/>
    <col min="2118" max="2118" customWidth="1" bestFit="1" width="10.0" style="5"/>
    <col min="2119" max="2119" customWidth="1" bestFit="1" width="10.0" style="5"/>
    <col min="2120" max="2120" customWidth="1" bestFit="1" width="10.0" style="5"/>
    <col min="2121" max="2121" customWidth="1" bestFit="1" width="10.0" style="5"/>
    <col min="2122" max="2122" customWidth="1" bestFit="1" width="10.0" style="5"/>
    <col min="2123" max="2123" customWidth="1" bestFit="1" width="10.0" style="5"/>
    <col min="2124" max="2124" customWidth="1" bestFit="1" width="10.0" style="5"/>
    <col min="2125" max="2125" customWidth="1" bestFit="1" width="10.0" style="5"/>
    <col min="2126" max="2126" customWidth="1" bestFit="1" width="10.0" style="5"/>
    <col min="2127" max="2127" customWidth="1" bestFit="1" width="10.0" style="5"/>
    <col min="2128" max="2128" customWidth="1" bestFit="1" width="10.0" style="5"/>
    <col min="2129" max="2129" customWidth="1" bestFit="1" width="10.0" style="5"/>
    <col min="2130" max="2130" customWidth="1" bestFit="1" width="10.0" style="5"/>
    <col min="2131" max="2131" customWidth="1" bestFit="1" width="10.0" style="5"/>
    <col min="2132" max="2132" customWidth="1" bestFit="1" width="10.0" style="5"/>
    <col min="2133" max="2133" customWidth="1" bestFit="1" width="10.0" style="5"/>
    <col min="2134" max="2134" customWidth="1" bestFit="1" width="10.0" style="5"/>
    <col min="2135" max="2135" customWidth="1" bestFit="1" width="10.0" style="5"/>
    <col min="2136" max="2136" customWidth="1" bestFit="1" width="10.0" style="5"/>
    <col min="2137" max="2137" customWidth="1" bestFit="1" width="10.0" style="5"/>
    <col min="2138" max="2138" customWidth="1" bestFit="1" width="10.0" style="5"/>
    <col min="2139" max="2139" customWidth="1" bestFit="1" width="10.0" style="5"/>
    <col min="2140" max="2140" customWidth="1" bestFit="1" width="10.0" style="5"/>
    <col min="2141" max="2141" customWidth="1" bestFit="1" width="10.0" style="5"/>
    <col min="2142" max="2142" customWidth="1" bestFit="1" width="10.0" style="5"/>
    <col min="2143" max="2143" customWidth="1" bestFit="1" width="10.0" style="5"/>
    <col min="2144" max="2144" customWidth="1" bestFit="1" width="10.0" style="5"/>
    <col min="2145" max="2145" customWidth="1" bestFit="1" width="10.0" style="5"/>
    <col min="2146" max="2146" customWidth="1" bestFit="1" width="10.0" style="5"/>
    <col min="2147" max="2147" customWidth="1" bestFit="1" width="10.0" style="5"/>
    <col min="2148" max="2148" customWidth="1" bestFit="1" width="10.0" style="5"/>
    <col min="2149" max="2149" customWidth="1" bestFit="1" width="10.0" style="5"/>
    <col min="2150" max="2150" customWidth="1" bestFit="1" width="10.0" style="5"/>
    <col min="2151" max="2151" customWidth="1" bestFit="1" width="10.0" style="5"/>
    <col min="2152" max="2152" customWidth="1" bestFit="1" width="10.0" style="5"/>
    <col min="2153" max="2153" customWidth="1" bestFit="1" width="10.0" style="5"/>
    <col min="2154" max="2154" customWidth="1" bestFit="1" width="10.0" style="5"/>
    <col min="2155" max="2155" customWidth="1" bestFit="1" width="10.0" style="5"/>
    <col min="2156" max="2156" customWidth="1" bestFit="1" width="10.0" style="5"/>
    <col min="2157" max="2157" customWidth="1" bestFit="1" width="10.0" style="5"/>
    <col min="2158" max="2158" customWidth="1" bestFit="1" width="10.0" style="5"/>
    <col min="2159" max="2159" customWidth="1" bestFit="1" width="10.0" style="5"/>
    <col min="2160" max="2160" customWidth="1" bestFit="1" width="10.0" style="5"/>
    <col min="2161" max="2161" customWidth="1" bestFit="1" width="10.0" style="5"/>
    <col min="2162" max="2162" customWidth="1" bestFit="1" width="10.0" style="5"/>
    <col min="2163" max="2163" customWidth="1" bestFit="1" width="10.0" style="5"/>
    <col min="2164" max="2164" customWidth="1" bestFit="1" width="10.0" style="5"/>
    <col min="2165" max="2165" customWidth="1" bestFit="1" width="10.0" style="5"/>
    <col min="2166" max="2166" customWidth="1" bestFit="1" width="10.0" style="5"/>
    <col min="2167" max="2167" customWidth="1" bestFit="1" width="10.0" style="5"/>
    <col min="2168" max="2168" customWidth="1" bestFit="1" width="10.0" style="5"/>
    <col min="2169" max="2169" customWidth="1" bestFit="1" width="10.0" style="5"/>
    <col min="2170" max="2170" customWidth="1" bestFit="1" width="10.0" style="5"/>
    <col min="2171" max="2171" customWidth="1" bestFit="1" width="10.0" style="5"/>
    <col min="2172" max="2172" customWidth="1" bestFit="1" width="10.0" style="5"/>
    <col min="2173" max="2173" customWidth="1" bestFit="1" width="10.0" style="5"/>
    <col min="2174" max="2174" customWidth="1" bestFit="1" width="10.0" style="5"/>
    <col min="2175" max="2175" customWidth="1" bestFit="1" width="10.0" style="5"/>
    <col min="2176" max="2176" customWidth="1" bestFit="1" width="10.0" style="5"/>
    <col min="2177" max="2177" customWidth="1" bestFit="1" width="10.0" style="5"/>
    <col min="2178" max="2178" customWidth="1" bestFit="1" width="10.0" style="5"/>
    <col min="2179" max="2179" customWidth="1" bestFit="1" width="10.0" style="5"/>
    <col min="2180" max="2180" customWidth="1" bestFit="1" width="10.0" style="5"/>
    <col min="2181" max="2181" customWidth="1" bestFit="1" width="10.0" style="5"/>
    <col min="2182" max="2182" customWidth="1" bestFit="1" width="10.0" style="5"/>
    <col min="2183" max="2183" customWidth="1" bestFit="1" width="10.0" style="5"/>
    <col min="2184" max="2184" customWidth="1" bestFit="1" width="10.0" style="5"/>
    <col min="2185" max="2185" customWidth="1" bestFit="1" width="10.0" style="5"/>
    <col min="2186" max="2186" customWidth="1" bestFit="1" width="10.0" style="5"/>
    <col min="2187" max="2187" customWidth="1" bestFit="1" width="10.0" style="5"/>
    <col min="2188" max="2188" customWidth="1" bestFit="1" width="10.0" style="5"/>
    <col min="2189" max="2189" customWidth="1" bestFit="1" width="10.0" style="5"/>
    <col min="2190" max="2190" customWidth="1" bestFit="1" width="10.0" style="5"/>
    <col min="2191" max="2191" customWidth="1" bestFit="1" width="10.0" style="5"/>
    <col min="2192" max="2192" customWidth="1" bestFit="1" width="10.0" style="5"/>
    <col min="2193" max="2193" customWidth="1" bestFit="1" width="10.0" style="5"/>
    <col min="2194" max="2194" customWidth="1" bestFit="1" width="10.0" style="5"/>
    <col min="2195" max="2195" customWidth="1" bestFit="1" width="10.0" style="5"/>
    <col min="2196" max="2196" customWidth="1" bestFit="1" width="10.0" style="5"/>
    <col min="2197" max="2197" customWidth="1" bestFit="1" width="10.0" style="5"/>
    <col min="2198" max="2198" customWidth="1" bestFit="1" width="10.0" style="5"/>
    <col min="2199" max="2199" customWidth="1" bestFit="1" width="10.0" style="5"/>
    <col min="2200" max="2200" customWidth="1" bestFit="1" width="10.0" style="5"/>
    <col min="2201" max="2201" customWidth="1" bestFit="1" width="10.0" style="5"/>
    <col min="2202" max="2202" customWidth="1" bestFit="1" width="10.0" style="5"/>
    <col min="2203" max="2203" customWidth="1" bestFit="1" width="10.0" style="5"/>
    <col min="2204" max="2204" customWidth="1" bestFit="1" width="10.0" style="5"/>
    <col min="2205" max="2205" customWidth="1" bestFit="1" width="10.0" style="5"/>
    <col min="2206" max="2206" customWidth="1" bestFit="1" width="10.0" style="5"/>
    <col min="2207" max="2207" customWidth="1" bestFit="1" width="10.0" style="5"/>
    <col min="2208" max="2208" customWidth="1" bestFit="1" width="10.0" style="5"/>
    <col min="2209" max="2209" customWidth="1" bestFit="1" width="10.0" style="5"/>
    <col min="2210" max="2210" customWidth="1" bestFit="1" width="10.0" style="5"/>
    <col min="2211" max="2211" customWidth="1" bestFit="1" width="10.0" style="5"/>
    <col min="2212" max="2212" customWidth="1" bestFit="1" width="10.0" style="5"/>
    <col min="2213" max="2213" customWidth="1" bestFit="1" width="10.0" style="5"/>
    <col min="2214" max="2214" customWidth="1" bestFit="1" width="10.0" style="5"/>
    <col min="2215" max="2215" customWidth="1" bestFit="1" width="10.0" style="5"/>
    <col min="2216" max="2216" customWidth="1" bestFit="1" width="10.0" style="5"/>
    <col min="2217" max="2217" customWidth="1" bestFit="1" width="10.0" style="5"/>
    <col min="2218" max="2218" customWidth="1" bestFit="1" width="10.0" style="5"/>
    <col min="2219" max="2219" customWidth="1" bestFit="1" width="10.0" style="5"/>
    <col min="2220" max="2220" customWidth="1" bestFit="1" width="10.0" style="5"/>
    <col min="2221" max="2221" customWidth="1" bestFit="1" width="10.0" style="5"/>
    <col min="2222" max="2222" customWidth="1" bestFit="1" width="10.0" style="5"/>
    <col min="2223" max="2223" customWidth="1" bestFit="1" width="10.0" style="5"/>
    <col min="2224" max="2224" customWidth="1" bestFit="1" width="10.0" style="5"/>
    <col min="2225" max="2225" customWidth="1" bestFit="1" width="10.0" style="5"/>
    <col min="2226" max="2226" customWidth="1" bestFit="1" width="10.0" style="5"/>
    <col min="2227" max="2227" customWidth="1" bestFit="1" width="10.0" style="5"/>
    <col min="2228" max="2228" customWidth="1" bestFit="1" width="10.0" style="5"/>
    <col min="2229" max="2229" customWidth="1" bestFit="1" width="10.0" style="5"/>
    <col min="2230" max="2230" customWidth="1" bestFit="1" width="10.0" style="5"/>
    <col min="2231" max="2231" customWidth="1" bestFit="1" width="10.0" style="5"/>
    <col min="2232" max="2232" customWidth="1" bestFit="1" width="10.0" style="5"/>
    <col min="2233" max="2233" customWidth="1" bestFit="1" width="10.0" style="5"/>
    <col min="2234" max="2234" customWidth="1" bestFit="1" width="10.0" style="5"/>
    <col min="2235" max="2235" customWidth="1" bestFit="1" width="10.0" style="5"/>
    <col min="2236" max="2236" customWidth="1" bestFit="1" width="10.0" style="5"/>
    <col min="2237" max="2237" customWidth="1" bestFit="1" width="10.0" style="5"/>
    <col min="2238" max="2238" customWidth="1" bestFit="1" width="10.0" style="5"/>
    <col min="2239" max="2239" customWidth="1" bestFit="1" width="10.0" style="5"/>
    <col min="2240" max="2240" customWidth="1" bestFit="1" width="10.0" style="5"/>
    <col min="2241" max="2241" customWidth="1" bestFit="1" width="10.0" style="5"/>
    <col min="2242" max="2242" customWidth="1" bestFit="1" width="10.0" style="5"/>
    <col min="2243" max="2243" customWidth="1" bestFit="1" width="10.0" style="5"/>
    <col min="2244" max="2244" customWidth="1" bestFit="1" width="10.0" style="5"/>
    <col min="2245" max="2245" customWidth="1" bestFit="1" width="10.0" style="5"/>
    <col min="2246" max="2246" customWidth="1" bestFit="1" width="10.0" style="5"/>
    <col min="2247" max="2247" customWidth="1" bestFit="1" width="10.0" style="5"/>
    <col min="2248" max="2248" customWidth="1" bestFit="1" width="10.0" style="5"/>
    <col min="2249" max="2249" customWidth="1" bestFit="1" width="10.0" style="5"/>
    <col min="2250" max="2250" customWidth="1" bestFit="1" width="10.0" style="5"/>
    <col min="2251" max="2251" customWidth="1" bestFit="1" width="10.0" style="5"/>
    <col min="2252" max="2252" customWidth="1" bestFit="1" width="10.0" style="5"/>
    <col min="2253" max="2253" customWidth="1" bestFit="1" width="10.0" style="5"/>
    <col min="2254" max="2254" customWidth="1" bestFit="1" width="10.0" style="5"/>
    <col min="2255" max="2255" customWidth="1" bestFit="1" width="10.0" style="5"/>
    <col min="2256" max="2256" customWidth="1" bestFit="1" width="10.0" style="5"/>
    <col min="2257" max="2257" customWidth="1" bestFit="1" width="10.0" style="5"/>
    <col min="2258" max="2258" customWidth="1" bestFit="1" width="10.0" style="5"/>
    <col min="2259" max="2259" customWidth="1" bestFit="1" width="10.0" style="5"/>
    <col min="2260" max="2260" customWidth="1" bestFit="1" width="10.0" style="5"/>
    <col min="2261" max="2261" customWidth="1" bestFit="1" width="10.0" style="5"/>
    <col min="2262" max="2262" customWidth="1" bestFit="1" width="10.0" style="5"/>
    <col min="2263" max="2263" customWidth="1" bestFit="1" width="10.0" style="5"/>
    <col min="2264" max="2264" customWidth="1" bestFit="1" width="10.0" style="5"/>
    <col min="2265" max="2265" customWidth="1" bestFit="1" width="10.0" style="5"/>
    <col min="2266" max="2266" customWidth="1" bestFit="1" width="10.0" style="5"/>
    <col min="2267" max="2267" customWidth="1" bestFit="1" width="10.0" style="5"/>
    <col min="2268" max="2268" customWidth="1" bestFit="1" width="10.0" style="5"/>
    <col min="2269" max="2269" customWidth="1" bestFit="1" width="10.0" style="5"/>
    <col min="2270" max="2270" customWidth="1" bestFit="1" width="10.0" style="5"/>
    <col min="2271" max="2271" customWidth="1" bestFit="1" width="10.0" style="5"/>
    <col min="2272" max="2272" customWidth="1" bestFit="1" width="10.0" style="5"/>
    <col min="2273" max="2273" customWidth="1" bestFit="1" width="10.0" style="5"/>
    <col min="2274" max="2274" customWidth="1" bestFit="1" width="10.0" style="5"/>
    <col min="2275" max="2275" customWidth="1" bestFit="1" width="10.0" style="5"/>
    <col min="2276" max="2276" customWidth="1" bestFit="1" width="10.0" style="5"/>
    <col min="2277" max="2277" customWidth="1" bestFit="1" width="10.0" style="5"/>
    <col min="2278" max="2278" customWidth="1" bestFit="1" width="10.0" style="5"/>
    <col min="2279" max="2279" customWidth="1" bestFit="1" width="10.0" style="5"/>
    <col min="2280" max="2280" customWidth="1" bestFit="1" width="10.0" style="5"/>
    <col min="2281" max="2281" customWidth="1" bestFit="1" width="10.0" style="5"/>
    <col min="2282" max="2282" customWidth="1" bestFit="1" width="10.0" style="5"/>
    <col min="2283" max="2283" customWidth="1" bestFit="1" width="10.0" style="5"/>
    <col min="2284" max="2284" customWidth="1" bestFit="1" width="10.0" style="5"/>
    <col min="2285" max="2285" customWidth="1" bestFit="1" width="10.0" style="5"/>
    <col min="2286" max="2286" customWidth="1" bestFit="1" width="10.0" style="5"/>
    <col min="2287" max="2287" customWidth="1" bestFit="1" width="10.0" style="5"/>
    <col min="2288" max="2288" customWidth="1" bestFit="1" width="10.0" style="5"/>
    <col min="2289" max="2289" customWidth="1" bestFit="1" width="10.0" style="5"/>
    <col min="2290" max="2290" customWidth="1" bestFit="1" width="10.0" style="5"/>
    <col min="2291" max="2291" customWidth="1" bestFit="1" width="10.0" style="5"/>
    <col min="2292" max="2292" customWidth="1" bestFit="1" width="10.0" style="5"/>
    <col min="2293" max="2293" customWidth="1" bestFit="1" width="10.0" style="5"/>
    <col min="2294" max="2294" customWidth="1" bestFit="1" width="10.0" style="5"/>
    <col min="2295" max="2295" customWidth="1" bestFit="1" width="10.0" style="5"/>
    <col min="2296" max="2296" customWidth="1" bestFit="1" width="10.0" style="5"/>
    <col min="2297" max="2297" customWidth="1" bestFit="1" width="10.0" style="5"/>
    <col min="2298" max="2298" customWidth="1" bestFit="1" width="10.0" style="5"/>
    <col min="2299" max="2299" customWidth="1" bestFit="1" width="10.0" style="5"/>
    <col min="2300" max="2300" customWidth="1" bestFit="1" width="10.0" style="5"/>
    <col min="2301" max="2301" customWidth="1" bestFit="1" width="10.0" style="5"/>
    <col min="2302" max="2302" customWidth="1" bestFit="1" width="10.0" style="5"/>
    <col min="2303" max="2303" customWidth="1" bestFit="1" width="10.0" style="5"/>
    <col min="2304" max="2304" customWidth="1" bestFit="1" width="10.0" style="5"/>
    <col min="2305" max="2305" customWidth="1" bestFit="1" width="10.0" style="5"/>
    <col min="2306" max="2306" customWidth="1" bestFit="1" width="10.0" style="5"/>
    <col min="2307" max="2307" customWidth="1" bestFit="1" width="10.0" style="5"/>
    <col min="2308" max="2308" customWidth="1" bestFit="1" width="10.0" style="5"/>
    <col min="2309" max="2309" customWidth="1" bestFit="1" width="10.0" style="5"/>
    <col min="2310" max="2310" customWidth="1" bestFit="1" width="10.0" style="5"/>
    <col min="2311" max="2311" customWidth="1" bestFit="1" width="10.0" style="5"/>
    <col min="2312" max="2312" customWidth="1" bestFit="1" width="10.0" style="5"/>
    <col min="2313" max="2313" customWidth="1" bestFit="1" width="10.0" style="5"/>
    <col min="2314" max="2314" customWidth="1" bestFit="1" width="10.0" style="5"/>
    <col min="2315" max="2315" customWidth="1" bestFit="1" width="10.0" style="5"/>
    <col min="2316" max="2316" customWidth="1" bestFit="1" width="10.0" style="5"/>
    <col min="2317" max="2317" customWidth="1" bestFit="1" width="10.0" style="5"/>
    <col min="2318" max="2318" customWidth="1" bestFit="1" width="10.0" style="5"/>
    <col min="2319" max="2319" customWidth="1" bestFit="1" width="10.0" style="5"/>
    <col min="2320" max="2320" customWidth="1" bestFit="1" width="10.0" style="5"/>
    <col min="2321" max="2321" customWidth="1" bestFit="1" width="10.0" style="5"/>
    <col min="2322" max="2322" customWidth="1" bestFit="1" width="10.0" style="5"/>
    <col min="2323" max="2323" customWidth="1" bestFit="1" width="10.0" style="5"/>
    <col min="2324" max="2324" customWidth="1" bestFit="1" width="10.0" style="5"/>
    <col min="2325" max="2325" customWidth="1" bestFit="1" width="10.0" style="5"/>
    <col min="2326" max="2326" customWidth="1" bestFit="1" width="10.0" style="5"/>
    <col min="2327" max="2327" customWidth="1" bestFit="1" width="10.0" style="5"/>
    <col min="2328" max="2328" customWidth="1" bestFit="1" width="10.0" style="5"/>
    <col min="2329" max="2329" customWidth="1" bestFit="1" width="10.0" style="5"/>
    <col min="2330" max="2330" customWidth="1" bestFit="1" width="10.0" style="5"/>
    <col min="2331" max="2331" customWidth="1" bestFit="1" width="10.0" style="5"/>
    <col min="2332" max="2332" customWidth="1" bestFit="1" width="10.0" style="5"/>
    <col min="2333" max="2333" customWidth="1" bestFit="1" width="10.0" style="5"/>
    <col min="2334" max="2334" customWidth="1" bestFit="1" width="10.0" style="5"/>
    <col min="2335" max="2335" customWidth="1" bestFit="1" width="10.0" style="5"/>
    <col min="2336" max="2336" customWidth="1" bestFit="1" width="10.0" style="5"/>
    <col min="2337" max="2337" customWidth="1" bestFit="1" width="10.0" style="5"/>
    <col min="2338" max="2338" customWidth="1" bestFit="1" width="10.0" style="5"/>
    <col min="2339" max="2339" customWidth="1" bestFit="1" width="10.0" style="5"/>
    <col min="2340" max="2340" customWidth="1" bestFit="1" width="10.0" style="5"/>
    <col min="2341" max="2341" customWidth="1" bestFit="1" width="10.0" style="5"/>
    <col min="2342" max="2342" customWidth="1" bestFit="1" width="10.0" style="5"/>
    <col min="2343" max="2343" customWidth="1" bestFit="1" width="10.0" style="5"/>
    <col min="2344" max="2344" customWidth="1" bestFit="1" width="10.0" style="5"/>
    <col min="2345" max="2345" customWidth="1" bestFit="1" width="10.0" style="5"/>
    <col min="2346" max="2346" customWidth="1" bestFit="1" width="10.0" style="5"/>
    <col min="2347" max="2347" customWidth="1" bestFit="1" width="10.0" style="5"/>
    <col min="2348" max="2348" customWidth="1" bestFit="1" width="10.0" style="5"/>
    <col min="2349" max="2349" customWidth="1" bestFit="1" width="10.0" style="5"/>
    <col min="2350" max="2350" customWidth="1" bestFit="1" width="10.0" style="5"/>
    <col min="2351" max="2351" customWidth="1" bestFit="1" width="10.0" style="5"/>
    <col min="2352" max="2352" customWidth="1" bestFit="1" width="10.0" style="5"/>
    <col min="2353" max="2353" customWidth="1" bestFit="1" width="10.0" style="5"/>
    <col min="2354" max="2354" customWidth="1" bestFit="1" width="10.0" style="5"/>
    <col min="2355" max="2355" customWidth="1" bestFit="1" width="10.0" style="5"/>
    <col min="2356" max="2356" customWidth="1" bestFit="1" width="10.0" style="5"/>
    <col min="2357" max="2357" customWidth="1" bestFit="1" width="10.0" style="5"/>
    <col min="2358" max="2358" customWidth="1" bestFit="1" width="10.0" style="5"/>
    <col min="2359" max="2359" customWidth="1" bestFit="1" width="10.0" style="5"/>
    <col min="2360" max="2360" customWidth="1" bestFit="1" width="10.0" style="5"/>
    <col min="2361" max="2361" customWidth="1" bestFit="1" width="10.0" style="5"/>
    <col min="2362" max="2362" customWidth="1" bestFit="1" width="10.0" style="5"/>
    <col min="2363" max="2363" customWidth="1" bestFit="1" width="10.0" style="5"/>
    <col min="2364" max="2364" customWidth="1" bestFit="1" width="10.0" style="5"/>
    <col min="2365" max="2365" customWidth="1" bestFit="1" width="10.0" style="5"/>
    <col min="2366" max="2366" customWidth="1" bestFit="1" width="10.0" style="5"/>
    <col min="2367" max="2367" customWidth="1" bestFit="1" width="10.0" style="5"/>
    <col min="2368" max="2368" customWidth="1" bestFit="1" width="10.0" style="5"/>
    <col min="2369" max="2369" customWidth="1" bestFit="1" width="10.0" style="5"/>
    <col min="2370" max="2370" customWidth="1" bestFit="1" width="10.0" style="5"/>
    <col min="2371" max="2371" customWidth="1" bestFit="1" width="10.0" style="5"/>
    <col min="2372" max="2372" customWidth="1" bestFit="1" width="10.0" style="5"/>
    <col min="2373" max="2373" customWidth="1" bestFit="1" width="10.0" style="5"/>
    <col min="2374" max="2374" customWidth="1" bestFit="1" width="10.0" style="5"/>
    <col min="2375" max="2375" customWidth="1" bestFit="1" width="10.0" style="5"/>
    <col min="2376" max="2376" customWidth="1" bestFit="1" width="10.0" style="5"/>
    <col min="2377" max="2377" customWidth="1" bestFit="1" width="10.0" style="5"/>
    <col min="2378" max="2378" customWidth="1" bestFit="1" width="10.0" style="5"/>
    <col min="2379" max="2379" customWidth="1" bestFit="1" width="10.0" style="5"/>
    <col min="2380" max="2380" customWidth="1" bestFit="1" width="10.0" style="5"/>
    <col min="2381" max="2381" customWidth="1" bestFit="1" width="10.0" style="5"/>
    <col min="2382" max="2382" customWidth="1" bestFit="1" width="10.0" style="5"/>
    <col min="2383" max="2383" customWidth="1" bestFit="1" width="10.0" style="5"/>
    <col min="2384" max="2384" customWidth="1" bestFit="1" width="10.0" style="5"/>
    <col min="2385" max="2385" customWidth="1" bestFit="1" width="10.0" style="5"/>
    <col min="2386" max="2386" customWidth="1" bestFit="1" width="10.0" style="5"/>
    <col min="2387" max="2387" customWidth="1" bestFit="1" width="10.0" style="5"/>
    <col min="2388" max="2388" customWidth="1" bestFit="1" width="10.0" style="5"/>
    <col min="2389" max="2389" customWidth="1" bestFit="1" width="10.0" style="5"/>
    <col min="2390" max="2390" customWidth="1" bestFit="1" width="10.0" style="5"/>
    <col min="2391" max="2391" customWidth="1" bestFit="1" width="10.0" style="5"/>
    <col min="2392" max="2392" customWidth="1" bestFit="1" width="10.0" style="5"/>
    <col min="2393" max="2393" customWidth="1" bestFit="1" width="10.0" style="5"/>
    <col min="2394" max="2394" customWidth="1" bestFit="1" width="10.0" style="5"/>
    <col min="2395" max="2395" customWidth="1" bestFit="1" width="10.0" style="5"/>
    <col min="2396" max="2396" customWidth="1" bestFit="1" width="10.0" style="5"/>
    <col min="2397" max="2397" customWidth="1" bestFit="1" width="10.0" style="5"/>
    <col min="2398" max="2398" customWidth="1" bestFit="1" width="10.0" style="5"/>
    <col min="2399" max="2399" customWidth="1" bestFit="1" width="10.0" style="5"/>
    <col min="2400" max="2400" customWidth="1" bestFit="1" width="10.0" style="5"/>
    <col min="2401" max="2401" customWidth="1" bestFit="1" width="10.0" style="5"/>
    <col min="2402" max="2402" customWidth="1" bestFit="1" width="10.0" style="5"/>
    <col min="2403" max="2403" customWidth="1" bestFit="1" width="10.0" style="5"/>
    <col min="2404" max="2404" customWidth="1" bestFit="1" width="10.0" style="5"/>
    <col min="2405" max="2405" customWidth="1" bestFit="1" width="10.0" style="5"/>
    <col min="2406" max="2406" customWidth="1" bestFit="1" width="10.0" style="5"/>
    <col min="2407" max="2407" customWidth="1" bestFit="1" width="10.0" style="5"/>
    <col min="2408" max="2408" customWidth="1" bestFit="1" width="10.0" style="5"/>
    <col min="2409" max="2409" customWidth="1" bestFit="1" width="10.0" style="5"/>
    <col min="2410" max="2410" customWidth="1" bestFit="1" width="10.0" style="5"/>
    <col min="2411" max="2411" customWidth="1" bestFit="1" width="10.0" style="5"/>
    <col min="2412" max="2412" customWidth="1" bestFit="1" width="10.0" style="5"/>
    <col min="2413" max="2413" customWidth="1" bestFit="1" width="10.0" style="5"/>
    <col min="2414" max="2414" customWidth="1" bestFit="1" width="10.0" style="5"/>
    <col min="2415" max="2415" customWidth="1" bestFit="1" width="10.0" style="5"/>
    <col min="2416" max="2416" customWidth="1" bestFit="1" width="10.0" style="5"/>
    <col min="2417" max="2417" customWidth="1" bestFit="1" width="10.0" style="5"/>
    <col min="2418" max="2418" customWidth="1" bestFit="1" width="10.0" style="5"/>
    <col min="2419" max="2419" customWidth="1" bestFit="1" width="10.0" style="5"/>
    <col min="2420" max="2420" customWidth="1" bestFit="1" width="10.0" style="5"/>
    <col min="2421" max="2421" customWidth="1" bestFit="1" width="10.0" style="5"/>
    <col min="2422" max="2422" customWidth="1" bestFit="1" width="10.0" style="5"/>
    <col min="2423" max="2423" customWidth="1" bestFit="1" width="10.0" style="5"/>
    <col min="2424" max="2424" customWidth="1" bestFit="1" width="10.0" style="5"/>
    <col min="2425" max="2425" customWidth="1" bestFit="1" width="10.0" style="5"/>
    <col min="2426" max="2426" customWidth="1" bestFit="1" width="10.0" style="5"/>
    <col min="2427" max="2427" customWidth="1" bestFit="1" width="10.0" style="5"/>
    <col min="2428" max="2428" customWidth="1" bestFit="1" width="10.0" style="5"/>
    <col min="2429" max="2429" customWidth="1" bestFit="1" width="10.0" style="5"/>
    <col min="2430" max="2430" customWidth="1" bestFit="1" width="10.0" style="5"/>
    <col min="2431" max="2431" customWidth="1" bestFit="1" width="10.0" style="5"/>
    <col min="2432" max="2432" customWidth="1" bestFit="1" width="10.0" style="5"/>
    <col min="2433" max="2433" customWidth="1" bestFit="1" width="10.0" style="5"/>
    <col min="2434" max="2434" customWidth="1" bestFit="1" width="10.0" style="5"/>
    <col min="2435" max="2435" customWidth="1" bestFit="1" width="10.0" style="5"/>
    <col min="2436" max="2436" customWidth="1" bestFit="1" width="10.0" style="5"/>
    <col min="2437" max="2437" customWidth="1" bestFit="1" width="10.0" style="5"/>
    <col min="2438" max="2438" customWidth="1" bestFit="1" width="10.0" style="5"/>
    <col min="2439" max="2439" customWidth="1" bestFit="1" width="10.0" style="5"/>
    <col min="2440" max="2440" customWidth="1" bestFit="1" width="10.0" style="5"/>
    <col min="2441" max="2441" customWidth="1" bestFit="1" width="10.0" style="5"/>
    <col min="2442" max="2442" customWidth="1" bestFit="1" width="10.0" style="5"/>
    <col min="2443" max="2443" customWidth="1" bestFit="1" width="10.0" style="5"/>
    <col min="2444" max="2444" customWidth="1" bestFit="1" width="10.0" style="5"/>
    <col min="2445" max="2445" customWidth="1" bestFit="1" width="10.0" style="5"/>
    <col min="2446" max="2446" customWidth="1" bestFit="1" width="10.0" style="5"/>
    <col min="2447" max="2447" customWidth="1" bestFit="1" width="10.0" style="5"/>
    <col min="2448" max="2448" customWidth="1" bestFit="1" width="10.0" style="5"/>
    <col min="2449" max="2449" customWidth="1" bestFit="1" width="10.0" style="5"/>
    <col min="2450" max="2450" customWidth="1" bestFit="1" width="10.0" style="5"/>
    <col min="2451" max="2451" customWidth="1" bestFit="1" width="10.0" style="5"/>
    <col min="2452" max="2452" customWidth="1" bestFit="1" width="10.0" style="5"/>
    <col min="2453" max="2453" customWidth="1" bestFit="1" width="10.0" style="5"/>
    <col min="2454" max="2454" customWidth="1" bestFit="1" width="10.0" style="5"/>
    <col min="2455" max="2455" customWidth="1" bestFit="1" width="10.0" style="5"/>
    <col min="2456" max="2456" customWidth="1" bestFit="1" width="10.0" style="5"/>
    <col min="2457" max="2457" customWidth="1" bestFit="1" width="10.0" style="5"/>
    <col min="2458" max="2458" customWidth="1" bestFit="1" width="10.0" style="5"/>
    <col min="2459" max="2459" customWidth="1" bestFit="1" width="10.0" style="5"/>
    <col min="2460" max="2460" customWidth="1" bestFit="1" width="10.0" style="5"/>
    <col min="2461" max="2461" customWidth="1" bestFit="1" width="10.0" style="5"/>
    <col min="2462" max="2462" customWidth="1" bestFit="1" width="10.0" style="5"/>
    <col min="2463" max="2463" customWidth="1" bestFit="1" width="10.0" style="5"/>
    <col min="2464" max="2464" customWidth="1" bestFit="1" width="10.0" style="5"/>
    <col min="2465" max="2465" customWidth="1" bestFit="1" width="10.0" style="5"/>
    <col min="2466" max="2466" customWidth="1" bestFit="1" width="10.0" style="5"/>
    <col min="2467" max="2467" customWidth="1" bestFit="1" width="10.0" style="5"/>
    <col min="2468" max="2468" customWidth="1" bestFit="1" width="10.0" style="5"/>
    <col min="2469" max="2469" customWidth="1" bestFit="1" width="10.0" style="5"/>
    <col min="2470" max="2470" customWidth="1" bestFit="1" width="10.0" style="5"/>
    <col min="2471" max="2471" customWidth="1" bestFit="1" width="10.0" style="5"/>
    <col min="2472" max="2472" customWidth="1" bestFit="1" width="10.0" style="5"/>
    <col min="2473" max="2473" customWidth="1" bestFit="1" width="10.0" style="5"/>
    <col min="2474" max="2474" customWidth="1" bestFit="1" width="10.0" style="5"/>
    <col min="2475" max="2475" customWidth="1" bestFit="1" width="10.0" style="5"/>
    <col min="2476" max="2476" customWidth="1" bestFit="1" width="10.0" style="5"/>
    <col min="2477" max="2477" customWidth="1" bestFit="1" width="10.0" style="5"/>
    <col min="2478" max="2478" customWidth="1" bestFit="1" width="10.0" style="5"/>
    <col min="2479" max="2479" customWidth="1" bestFit="1" width="10.0" style="5"/>
    <col min="2480" max="2480" customWidth="1" bestFit="1" width="10.0" style="5"/>
    <col min="2481" max="2481" customWidth="1" bestFit="1" width="10.0" style="5"/>
    <col min="2482" max="2482" customWidth="1" bestFit="1" width="10.0" style="5"/>
    <col min="2483" max="2483" customWidth="1" bestFit="1" width="10.0" style="5"/>
    <col min="2484" max="2484" customWidth="1" bestFit="1" width="10.0" style="5"/>
    <col min="2485" max="2485" customWidth="1" bestFit="1" width="10.0" style="5"/>
    <col min="2486" max="2486" customWidth="1" bestFit="1" width="10.0" style="5"/>
    <col min="2487" max="2487" customWidth="1" bestFit="1" width="10.0" style="5"/>
    <col min="2488" max="2488" customWidth="1" bestFit="1" width="10.0" style="5"/>
    <col min="2489" max="2489" customWidth="1" bestFit="1" width="10.0" style="5"/>
    <col min="2490" max="2490" customWidth="1" bestFit="1" width="10.0" style="5"/>
    <col min="2491" max="2491" customWidth="1" bestFit="1" width="10.0" style="5"/>
    <col min="2492" max="2492" customWidth="1" bestFit="1" width="10.0" style="5"/>
    <col min="2493" max="2493" customWidth="1" bestFit="1" width="10.0" style="5"/>
    <col min="2494" max="2494" customWidth="1" bestFit="1" width="10.0" style="5"/>
    <col min="2495" max="2495" customWidth="1" bestFit="1" width="10.0" style="5"/>
    <col min="2496" max="2496" customWidth="1" bestFit="1" width="10.0" style="5"/>
    <col min="2497" max="2497" customWidth="1" bestFit="1" width="10.0" style="5"/>
    <col min="2498" max="2498" customWidth="1" bestFit="1" width="10.0" style="5"/>
    <col min="2499" max="2499" customWidth="1" bestFit="1" width="10.0" style="5"/>
    <col min="2500" max="2500" customWidth="1" bestFit="1" width="10.0" style="5"/>
    <col min="2501" max="2501" customWidth="1" bestFit="1" width="10.0" style="5"/>
    <col min="2502" max="2502" customWidth="1" bestFit="1" width="10.0" style="5"/>
    <col min="2503" max="2503" customWidth="1" bestFit="1" width="10.0" style="5"/>
    <col min="2504" max="2504" customWidth="1" bestFit="1" width="10.0" style="5"/>
    <col min="2505" max="2505" customWidth="1" bestFit="1" width="10.0" style="5"/>
    <col min="2506" max="2506" customWidth="1" bestFit="1" width="10.0" style="5"/>
    <col min="2507" max="2507" customWidth="1" bestFit="1" width="10.0" style="5"/>
    <col min="2508" max="2508" customWidth="1" bestFit="1" width="10.0" style="5"/>
    <col min="2509" max="2509" customWidth="1" bestFit="1" width="10.0" style="5"/>
    <col min="2510" max="2510" customWidth="1" bestFit="1" width="10.0" style="5"/>
    <col min="2511" max="2511" customWidth="1" bestFit="1" width="10.0" style="5"/>
    <col min="2512" max="2512" customWidth="1" bestFit="1" width="10.0" style="5"/>
    <col min="2513" max="2513" customWidth="1" bestFit="1" width="10.0" style="5"/>
    <col min="2514" max="2514" customWidth="1" bestFit="1" width="10.0" style="5"/>
    <col min="2515" max="2515" customWidth="1" bestFit="1" width="10.0" style="5"/>
    <col min="2516" max="2516" customWidth="1" bestFit="1" width="10.0" style="5"/>
    <col min="2517" max="2517" customWidth="1" bestFit="1" width="10.0" style="5"/>
    <col min="2518" max="2518" customWidth="1" bestFit="1" width="10.0" style="5"/>
    <col min="2519" max="2519" customWidth="1" bestFit="1" width="10.0" style="5"/>
    <col min="2520" max="2520" customWidth="1" bestFit="1" width="10.0" style="5"/>
    <col min="2521" max="2521" customWidth="1" bestFit="1" width="10.0" style="5"/>
    <col min="2522" max="2522" customWidth="1" bestFit="1" width="10.0" style="5"/>
    <col min="2523" max="2523" customWidth="1" bestFit="1" width="10.0" style="5"/>
    <col min="2524" max="2524" customWidth="1" bestFit="1" width="10.0" style="5"/>
    <col min="2525" max="2525" customWidth="1" bestFit="1" width="10.0" style="5"/>
    <col min="2526" max="2526" customWidth="1" bestFit="1" width="10.0" style="5"/>
    <col min="2527" max="2527" customWidth="1" bestFit="1" width="10.0" style="5"/>
    <col min="2528" max="2528" customWidth="1" bestFit="1" width="10.0" style="5"/>
    <col min="2529" max="2529" customWidth="1" bestFit="1" width="10.0" style="5"/>
    <col min="2530" max="2530" customWidth="1" bestFit="1" width="10.0" style="5"/>
    <col min="2531" max="2531" customWidth="1" bestFit="1" width="10.0" style="5"/>
    <col min="2532" max="2532" customWidth="1" bestFit="1" width="10.0" style="5"/>
    <col min="2533" max="2533" customWidth="1" bestFit="1" width="10.0" style="5"/>
    <col min="2534" max="2534" customWidth="1" bestFit="1" width="10.0" style="5"/>
    <col min="2535" max="2535" customWidth="1" bestFit="1" width="10.0" style="5"/>
    <col min="2536" max="2536" customWidth="1" bestFit="1" width="10.0" style="5"/>
    <col min="2537" max="2537" customWidth="1" bestFit="1" width="10.0" style="5"/>
    <col min="2538" max="2538" customWidth="1" bestFit="1" width="10.0" style="5"/>
    <col min="2539" max="2539" customWidth="1" bestFit="1" width="10.0" style="5"/>
    <col min="2540" max="2540" customWidth="1" bestFit="1" width="10.0" style="5"/>
    <col min="2541" max="2541" customWidth="1" bestFit="1" width="10.0" style="5"/>
    <col min="2542" max="2542" customWidth="1" bestFit="1" width="10.0" style="5"/>
    <col min="2543" max="2543" customWidth="1" bestFit="1" width="10.0" style="5"/>
    <col min="2544" max="2544" customWidth="1" bestFit="1" width="10.0" style="5"/>
    <col min="2545" max="2545" customWidth="1" bestFit="1" width="10.0" style="5"/>
    <col min="2546" max="2546" customWidth="1" bestFit="1" width="10.0" style="5"/>
    <col min="2547" max="2547" customWidth="1" bestFit="1" width="10.0" style="5"/>
    <col min="2548" max="2548" customWidth="1" bestFit="1" width="10.0" style="5"/>
    <col min="2549" max="2549" customWidth="1" bestFit="1" width="10.0" style="5"/>
    <col min="2550" max="2550" customWidth="1" bestFit="1" width="10.0" style="5"/>
    <col min="2551" max="2551" customWidth="1" bestFit="1" width="10.0" style="5"/>
    <col min="2552" max="2552" customWidth="1" bestFit="1" width="10.0" style="5"/>
    <col min="2553" max="2553" customWidth="1" bestFit="1" width="10.0" style="5"/>
    <col min="2554" max="2554" customWidth="1" bestFit="1" width="10.0" style="5"/>
    <col min="2555" max="2555" customWidth="1" bestFit="1" width="10.0" style="5"/>
    <col min="2556" max="2556" customWidth="1" bestFit="1" width="10.0" style="5"/>
    <col min="2557" max="2557" customWidth="1" bestFit="1" width="10.0" style="5"/>
    <col min="2558" max="2558" customWidth="1" bestFit="1" width="10.0" style="5"/>
    <col min="2559" max="2559" customWidth="1" bestFit="1" width="10.0" style="5"/>
    <col min="2560" max="2560" customWidth="1" bestFit="1" width="10.0" style="5"/>
    <col min="2561" max="2561" customWidth="1" bestFit="1" width="10.0" style="5"/>
    <col min="2562" max="2562" customWidth="1" bestFit="1" width="10.0" style="5"/>
    <col min="2563" max="2563" customWidth="1" bestFit="1" width="10.0" style="5"/>
    <col min="2564" max="2564" customWidth="1" bestFit="1" width="10.0" style="5"/>
    <col min="2565" max="2565" customWidth="1" bestFit="1" width="10.0" style="5"/>
    <col min="2566" max="2566" customWidth="1" bestFit="1" width="10.0" style="5"/>
    <col min="2567" max="2567" customWidth="1" bestFit="1" width="10.0" style="5"/>
    <col min="2568" max="2568" customWidth="1" bestFit="1" width="10.0" style="5"/>
    <col min="2569" max="2569" customWidth="1" bestFit="1" width="10.0" style="5"/>
    <col min="2570" max="2570" customWidth="1" bestFit="1" width="10.0" style="5"/>
    <col min="2571" max="2571" customWidth="1" bestFit="1" width="10.0" style="5"/>
    <col min="2572" max="2572" customWidth="1" bestFit="1" width="10.0" style="5"/>
    <col min="2573" max="2573" customWidth="1" bestFit="1" width="10.0" style="5"/>
    <col min="2574" max="2574" customWidth="1" bestFit="1" width="10.0" style="5"/>
    <col min="2575" max="2575" customWidth="1" bestFit="1" width="10.0" style="5"/>
    <col min="2576" max="2576" customWidth="1" bestFit="1" width="10.0" style="5"/>
    <col min="2577" max="2577" customWidth="1" bestFit="1" width="10.0" style="5"/>
    <col min="2578" max="2578" customWidth="1" bestFit="1" width="10.0" style="5"/>
    <col min="2579" max="2579" customWidth="1" bestFit="1" width="10.0" style="5"/>
    <col min="2580" max="2580" customWidth="1" bestFit="1" width="10.0" style="5"/>
    <col min="2581" max="2581" customWidth="1" bestFit="1" width="10.0" style="5"/>
    <col min="2582" max="2582" customWidth="1" bestFit="1" width="10.0" style="5"/>
    <col min="2583" max="2583" customWidth="1" bestFit="1" width="10.0" style="5"/>
    <col min="2584" max="2584" customWidth="1" bestFit="1" width="10.0" style="5"/>
    <col min="2585" max="2585" customWidth="1" bestFit="1" width="10.0" style="5"/>
    <col min="2586" max="2586" customWidth="1" bestFit="1" width="10.0" style="5"/>
    <col min="2587" max="2587" customWidth="1" bestFit="1" width="10.0" style="5"/>
    <col min="2588" max="2588" customWidth="1" bestFit="1" width="10.0" style="5"/>
    <col min="2589" max="2589" customWidth="1" bestFit="1" width="10.0" style="5"/>
    <col min="2590" max="2590" customWidth="1" bestFit="1" width="10.0" style="5"/>
    <col min="2591" max="2591" customWidth="1" bestFit="1" width="10.0" style="5"/>
    <col min="2592" max="2592" customWidth="1" bestFit="1" width="10.0" style="5"/>
    <col min="2593" max="2593" customWidth="1" bestFit="1" width="10.0" style="5"/>
    <col min="2594" max="2594" customWidth="1" bestFit="1" width="10.0" style="5"/>
    <col min="2595" max="2595" customWidth="1" bestFit="1" width="10.0" style="5"/>
    <col min="2596" max="2596" customWidth="1" bestFit="1" width="10.0" style="5"/>
    <col min="2597" max="2597" customWidth="1" bestFit="1" width="10.0" style="5"/>
    <col min="2598" max="2598" customWidth="1" bestFit="1" width="10.0" style="5"/>
    <col min="2599" max="2599" customWidth="1" bestFit="1" width="10.0" style="5"/>
    <col min="2600" max="2600" customWidth="1" bestFit="1" width="10.0" style="5"/>
    <col min="2601" max="2601" customWidth="1" bestFit="1" width="10.0" style="5"/>
    <col min="2602" max="2602" customWidth="1" bestFit="1" width="10.0" style="5"/>
    <col min="2603" max="2603" customWidth="1" bestFit="1" width="10.0" style="5"/>
    <col min="2604" max="2604" customWidth="1" bestFit="1" width="10.0" style="5"/>
    <col min="2605" max="2605" customWidth="1" bestFit="1" width="10.0" style="5"/>
    <col min="2606" max="2606" customWidth="1" bestFit="1" width="10.0" style="5"/>
    <col min="2607" max="2607" customWidth="1" bestFit="1" width="10.0" style="5"/>
    <col min="2608" max="2608" customWidth="1" bestFit="1" width="10.0" style="5"/>
    <col min="2609" max="2609" customWidth="1" bestFit="1" width="10.0" style="5"/>
    <col min="2610" max="2610" customWidth="1" bestFit="1" width="10.0" style="5"/>
    <col min="2611" max="2611" customWidth="1" bestFit="1" width="10.0" style="5"/>
    <col min="2612" max="2612" customWidth="1" bestFit="1" width="10.0" style="5"/>
    <col min="2613" max="2613" customWidth="1" bestFit="1" width="10.0" style="5"/>
    <col min="2614" max="2614" customWidth="1" bestFit="1" width="10.0" style="5"/>
    <col min="2615" max="2615" customWidth="1" bestFit="1" width="10.0" style="5"/>
    <col min="2616" max="2616" customWidth="1" bestFit="1" width="10.0" style="5"/>
    <col min="2617" max="2617" customWidth="1" bestFit="1" width="10.0" style="5"/>
    <col min="2618" max="2618" customWidth="1" bestFit="1" width="10.0" style="5"/>
    <col min="2619" max="2619" customWidth="1" bestFit="1" width="10.0" style="5"/>
    <col min="2620" max="2620" customWidth="1" bestFit="1" width="10.0" style="5"/>
    <col min="2621" max="2621" customWidth="1" bestFit="1" width="10.0" style="5"/>
    <col min="2622" max="2622" customWidth="1" bestFit="1" width="10.0" style="5"/>
    <col min="2623" max="2623" customWidth="1" bestFit="1" width="10.0" style="5"/>
    <col min="2624" max="2624" customWidth="1" bestFit="1" width="10.0" style="5"/>
    <col min="2625" max="2625" customWidth="1" bestFit="1" width="10.0" style="5"/>
    <col min="2626" max="2626" customWidth="1" bestFit="1" width="10.0" style="5"/>
    <col min="2627" max="2627" customWidth="1" bestFit="1" width="10.0" style="5"/>
    <col min="2628" max="2628" customWidth="1" bestFit="1" width="10.0" style="5"/>
    <col min="2629" max="2629" customWidth="1" bestFit="1" width="10.0" style="5"/>
    <col min="2630" max="2630" customWidth="1" bestFit="1" width="10.0" style="5"/>
    <col min="2631" max="2631" customWidth="1" bestFit="1" width="10.0" style="5"/>
    <col min="2632" max="2632" customWidth="1" bestFit="1" width="10.0" style="5"/>
    <col min="2633" max="2633" customWidth="1" bestFit="1" width="10.0" style="5"/>
    <col min="2634" max="2634" customWidth="1" bestFit="1" width="10.0" style="5"/>
    <col min="2635" max="2635" customWidth="1" bestFit="1" width="10.0" style="5"/>
    <col min="2636" max="2636" customWidth="1" bestFit="1" width="10.0" style="5"/>
    <col min="2637" max="2637" customWidth="1" bestFit="1" width="10.0" style="5"/>
    <col min="2638" max="2638" customWidth="1" bestFit="1" width="10.0" style="5"/>
    <col min="2639" max="2639" customWidth="1" bestFit="1" width="10.0" style="5"/>
    <col min="2640" max="2640" customWidth="1" bestFit="1" width="10.0" style="5"/>
    <col min="2641" max="2641" customWidth="1" bestFit="1" width="10.0" style="5"/>
    <col min="2642" max="2642" customWidth="1" bestFit="1" width="10.0" style="5"/>
    <col min="2643" max="2643" customWidth="1" bestFit="1" width="10.0" style="5"/>
    <col min="2644" max="2644" customWidth="1" bestFit="1" width="10.0" style="5"/>
    <col min="2645" max="2645" customWidth="1" bestFit="1" width="10.0" style="5"/>
    <col min="2646" max="2646" customWidth="1" bestFit="1" width="10.0" style="5"/>
    <col min="2647" max="2647" customWidth="1" bestFit="1" width="10.0" style="5"/>
    <col min="2648" max="2648" customWidth="1" bestFit="1" width="10.0" style="5"/>
    <col min="2649" max="2649" customWidth="1" bestFit="1" width="10.0" style="5"/>
    <col min="2650" max="2650" customWidth="1" bestFit="1" width="10.0" style="5"/>
    <col min="2651" max="2651" customWidth="1" bestFit="1" width="10.0" style="5"/>
    <col min="2652" max="2652" customWidth="1" bestFit="1" width="10.0" style="5"/>
    <col min="2653" max="2653" customWidth="1" bestFit="1" width="10.0" style="5"/>
    <col min="2654" max="2654" customWidth="1" bestFit="1" width="10.0" style="5"/>
    <col min="2655" max="2655" customWidth="1" bestFit="1" width="10.0" style="5"/>
    <col min="2656" max="2656" customWidth="1" bestFit="1" width="10.0" style="5"/>
    <col min="2657" max="2657" customWidth="1" bestFit="1" width="10.0" style="5"/>
    <col min="2658" max="2658" customWidth="1" bestFit="1" width="10.0" style="5"/>
    <col min="2659" max="2659" customWidth="1" bestFit="1" width="10.0" style="5"/>
    <col min="2660" max="2660" customWidth="1" bestFit="1" width="10.0" style="5"/>
    <col min="2661" max="2661" customWidth="1" bestFit="1" width="10.0" style="5"/>
    <col min="2662" max="2662" customWidth="1" bestFit="1" width="10.0" style="5"/>
    <col min="2663" max="2663" customWidth="1" bestFit="1" width="10.0" style="5"/>
    <col min="2664" max="2664" customWidth="1" bestFit="1" width="10.0" style="5"/>
    <col min="2665" max="2665" customWidth="1" bestFit="1" width="10.0" style="5"/>
    <col min="2666" max="2666" customWidth="1" bestFit="1" width="10.0" style="5"/>
    <col min="2667" max="2667" customWidth="1" bestFit="1" width="10.0" style="5"/>
    <col min="2668" max="2668" customWidth="1" bestFit="1" width="10.0" style="5"/>
    <col min="2669" max="2669" customWidth="1" bestFit="1" width="10.0" style="5"/>
    <col min="2670" max="2670" customWidth="1" bestFit="1" width="10.0" style="5"/>
    <col min="2671" max="2671" customWidth="1" bestFit="1" width="10.0" style="5"/>
    <col min="2672" max="2672" customWidth="1" bestFit="1" width="10.0" style="5"/>
    <col min="2673" max="2673" customWidth="1" bestFit="1" width="10.0" style="5"/>
    <col min="2674" max="2674" customWidth="1" bestFit="1" width="10.0" style="5"/>
    <col min="2675" max="2675" customWidth="1" bestFit="1" width="10.0" style="5"/>
    <col min="2676" max="2676" customWidth="1" bestFit="1" width="10.0" style="5"/>
    <col min="2677" max="2677" customWidth="1" bestFit="1" width="10.0" style="5"/>
    <col min="2678" max="2678" customWidth="1" bestFit="1" width="10.0" style="5"/>
    <col min="2679" max="2679" customWidth="1" bestFit="1" width="10.0" style="5"/>
    <col min="2680" max="2680" customWidth="1" bestFit="1" width="10.0" style="5"/>
    <col min="2681" max="2681" customWidth="1" bestFit="1" width="10.0" style="5"/>
    <col min="2682" max="2682" customWidth="1" bestFit="1" width="10.0" style="5"/>
    <col min="2683" max="2683" customWidth="1" bestFit="1" width="10.0" style="5"/>
    <col min="2684" max="2684" customWidth="1" bestFit="1" width="10.0" style="5"/>
    <col min="2685" max="2685" customWidth="1" bestFit="1" width="10.0" style="5"/>
    <col min="2686" max="2686" customWidth="1" bestFit="1" width="10.0" style="5"/>
    <col min="2687" max="2687" customWidth="1" bestFit="1" width="10.0" style="5"/>
    <col min="2688" max="2688" customWidth="1" bestFit="1" width="10.0" style="5"/>
    <col min="2689" max="2689" customWidth="1" bestFit="1" width="10.0" style="5"/>
    <col min="2690" max="2690" customWidth="1" bestFit="1" width="10.0" style="5"/>
    <col min="2691" max="2691" customWidth="1" bestFit="1" width="10.0" style="5"/>
    <col min="2692" max="2692" customWidth="1" bestFit="1" width="10.0" style="5"/>
    <col min="2693" max="2693" customWidth="1" bestFit="1" width="10.0" style="5"/>
    <col min="2694" max="2694" customWidth="1" bestFit="1" width="10.0" style="5"/>
    <col min="2695" max="2695" customWidth="1" bestFit="1" width="10.0" style="5"/>
    <col min="2696" max="2696" customWidth="1" bestFit="1" width="10.0" style="5"/>
    <col min="2697" max="2697" customWidth="1" bestFit="1" width="10.0" style="5"/>
    <col min="2698" max="2698" customWidth="1" bestFit="1" width="10.0" style="5"/>
    <col min="2699" max="2699" customWidth="1" bestFit="1" width="10.0" style="5"/>
    <col min="2700" max="2700" customWidth="1" bestFit="1" width="10.0" style="5"/>
    <col min="2701" max="2701" customWidth="1" bestFit="1" width="10.0" style="5"/>
    <col min="2702" max="2702" customWidth="1" bestFit="1" width="10.0" style="5"/>
    <col min="2703" max="2703" customWidth="1" bestFit="1" width="10.0" style="5"/>
    <col min="2704" max="2704" customWidth="1" bestFit="1" width="10.0" style="5"/>
    <col min="2705" max="2705" customWidth="1" bestFit="1" width="10.0" style="5"/>
    <col min="2706" max="2706" customWidth="1" bestFit="1" width="10.0" style="5"/>
    <col min="2707" max="2707" customWidth="1" bestFit="1" width="10.0" style="5"/>
    <col min="2708" max="2708" customWidth="1" bestFit="1" width="10.0" style="5"/>
    <col min="2709" max="2709" customWidth="1" bestFit="1" width="10.0" style="5"/>
    <col min="2710" max="2710" customWidth="1" bestFit="1" width="10.0" style="5"/>
    <col min="2711" max="2711" customWidth="1" bestFit="1" width="10.0" style="5"/>
    <col min="2712" max="2712" customWidth="1" bestFit="1" width="10.0" style="5"/>
    <col min="2713" max="2713" customWidth="1" bestFit="1" width="10.0" style="5"/>
    <col min="2714" max="2714" customWidth="1" bestFit="1" width="10.0" style="5"/>
    <col min="2715" max="2715" customWidth="1" bestFit="1" width="10.0" style="5"/>
    <col min="2716" max="2716" customWidth="1" bestFit="1" width="10.0" style="5"/>
    <col min="2717" max="2717" customWidth="1" bestFit="1" width="10.0" style="5"/>
    <col min="2718" max="2718" customWidth="1" bestFit="1" width="10.0" style="5"/>
    <col min="2719" max="2719" customWidth="1" bestFit="1" width="10.0" style="5"/>
    <col min="2720" max="2720" customWidth="1" bestFit="1" width="10.0" style="5"/>
    <col min="2721" max="2721" customWidth="1" bestFit="1" width="10.0" style="5"/>
    <col min="2722" max="2722" customWidth="1" bestFit="1" width="10.0" style="5"/>
    <col min="2723" max="2723" customWidth="1" bestFit="1" width="10.0" style="5"/>
    <col min="2724" max="2724" customWidth="1" bestFit="1" width="10.0" style="5"/>
    <col min="2725" max="2725" customWidth="1" bestFit="1" width="10.0" style="5"/>
    <col min="2726" max="2726" customWidth="1" bestFit="1" width="10.0" style="5"/>
    <col min="2727" max="2727" customWidth="1" bestFit="1" width="10.0" style="5"/>
    <col min="2728" max="2728" customWidth="1" bestFit="1" width="10.0" style="5"/>
    <col min="2729" max="2729" customWidth="1" bestFit="1" width="10.0" style="5"/>
    <col min="2730" max="2730" customWidth="1" bestFit="1" width="10.0" style="5"/>
    <col min="2731" max="2731" customWidth="1" bestFit="1" width="10.0" style="5"/>
    <col min="2732" max="2732" customWidth="1" bestFit="1" width="10.0" style="5"/>
    <col min="2733" max="2733" customWidth="1" bestFit="1" width="10.0" style="5"/>
    <col min="2734" max="2734" customWidth="1" bestFit="1" width="10.0" style="5"/>
    <col min="2735" max="2735" customWidth="1" bestFit="1" width="10.0" style="5"/>
    <col min="2736" max="2736" customWidth="1" bestFit="1" width="10.0" style="5"/>
    <col min="2737" max="2737" customWidth="1" bestFit="1" width="10.0" style="5"/>
    <col min="2738" max="2738" customWidth="1" bestFit="1" width="10.0" style="5"/>
    <col min="2739" max="2739" customWidth="1" bestFit="1" width="10.0" style="5"/>
    <col min="2740" max="2740" customWidth="1" bestFit="1" width="10.0" style="5"/>
    <col min="2741" max="2741" customWidth="1" bestFit="1" width="10.0" style="5"/>
    <col min="2742" max="2742" customWidth="1" bestFit="1" width="10.0" style="5"/>
    <col min="2743" max="2743" customWidth="1" bestFit="1" width="10.0" style="5"/>
    <col min="2744" max="2744" customWidth="1" bestFit="1" width="10.0" style="5"/>
    <col min="2745" max="2745" customWidth="1" bestFit="1" width="10.0" style="5"/>
    <col min="2746" max="2746" customWidth="1" bestFit="1" width="10.0" style="5"/>
    <col min="2747" max="2747" customWidth="1" bestFit="1" width="10.0" style="5"/>
    <col min="2748" max="2748" customWidth="1" bestFit="1" width="10.0" style="5"/>
    <col min="2749" max="2749" customWidth="1" bestFit="1" width="10.0" style="5"/>
    <col min="2750" max="2750" customWidth="1" bestFit="1" width="10.0" style="5"/>
    <col min="2751" max="2751" customWidth="1" bestFit="1" width="10.0" style="5"/>
    <col min="2752" max="2752" customWidth="1" bestFit="1" width="10.0" style="5"/>
    <col min="2753" max="2753" customWidth="1" bestFit="1" width="10.0" style="5"/>
    <col min="2754" max="2754" customWidth="1" bestFit="1" width="10.0" style="5"/>
    <col min="2755" max="2755" customWidth="1" bestFit="1" width="10.0" style="5"/>
    <col min="2756" max="2756" customWidth="1" bestFit="1" width="10.0" style="5"/>
    <col min="2757" max="2757" customWidth="1" bestFit="1" width="10.0" style="5"/>
    <col min="2758" max="2758" customWidth="1" bestFit="1" width="10.0" style="5"/>
    <col min="2759" max="2759" customWidth="1" bestFit="1" width="10.0" style="5"/>
    <col min="2760" max="2760" customWidth="1" bestFit="1" width="10.0" style="5"/>
    <col min="2761" max="2761" customWidth="1" bestFit="1" width="10.0" style="5"/>
    <col min="2762" max="2762" customWidth="1" bestFit="1" width="10.0" style="5"/>
    <col min="2763" max="2763" customWidth="1" bestFit="1" width="10.0" style="5"/>
    <col min="2764" max="2764" customWidth="1" bestFit="1" width="10.0" style="5"/>
    <col min="2765" max="2765" customWidth="1" bestFit="1" width="10.0" style="5"/>
    <col min="2766" max="2766" customWidth="1" bestFit="1" width="10.0" style="5"/>
    <col min="2767" max="2767" customWidth="1" bestFit="1" width="10.0" style="5"/>
    <col min="2768" max="2768" customWidth="1" bestFit="1" width="10.0" style="5"/>
    <col min="2769" max="2769" customWidth="1" bestFit="1" width="10.0" style="5"/>
    <col min="2770" max="2770" customWidth="1" bestFit="1" width="10.0" style="5"/>
    <col min="2771" max="2771" customWidth="1" bestFit="1" width="10.0" style="5"/>
    <col min="2772" max="2772" customWidth="1" bestFit="1" width="10.0" style="5"/>
    <col min="2773" max="2773" customWidth="1" bestFit="1" width="10.0" style="5"/>
    <col min="2774" max="2774" customWidth="1" bestFit="1" width="10.0" style="5"/>
    <col min="2775" max="2775" customWidth="1" bestFit="1" width="10.0" style="5"/>
    <col min="2776" max="2776" customWidth="1" bestFit="1" width="10.0" style="5"/>
    <col min="2777" max="2777" customWidth="1" bestFit="1" width="10.0" style="5"/>
    <col min="2778" max="2778" customWidth="1" bestFit="1" width="10.0" style="5"/>
    <col min="2779" max="2779" customWidth="1" bestFit="1" width="10.0" style="5"/>
    <col min="2780" max="2780" customWidth="1" bestFit="1" width="10.0" style="5"/>
    <col min="2781" max="2781" customWidth="1" bestFit="1" width="10.0" style="5"/>
    <col min="2782" max="2782" customWidth="1" bestFit="1" width="10.0" style="5"/>
    <col min="2783" max="2783" customWidth="1" bestFit="1" width="10.0" style="5"/>
    <col min="2784" max="2784" customWidth="1" bestFit="1" width="10.0" style="5"/>
    <col min="2785" max="2785" customWidth="1" bestFit="1" width="10.0" style="5"/>
    <col min="2786" max="2786" customWidth="1" bestFit="1" width="10.0" style="5"/>
    <col min="2787" max="2787" customWidth="1" bestFit="1" width="10.0" style="5"/>
    <col min="2788" max="2788" customWidth="1" bestFit="1" width="10.0" style="5"/>
    <col min="2789" max="2789" customWidth="1" bestFit="1" width="10.0" style="5"/>
    <col min="2790" max="2790" customWidth="1" bestFit="1" width="10.0" style="5"/>
    <col min="2791" max="2791" customWidth="1" bestFit="1" width="10.0" style="5"/>
    <col min="2792" max="2792" customWidth="1" bestFit="1" width="10.0" style="5"/>
    <col min="2793" max="2793" customWidth="1" bestFit="1" width="10.0" style="5"/>
    <col min="2794" max="2794" customWidth="1" bestFit="1" width="10.0" style="5"/>
    <col min="2795" max="2795" customWidth="1" bestFit="1" width="10.0" style="5"/>
    <col min="2796" max="2796" customWidth="1" bestFit="1" width="10.0" style="5"/>
    <col min="2797" max="2797" customWidth="1" bestFit="1" width="10.0" style="5"/>
    <col min="2798" max="2798" customWidth="1" bestFit="1" width="10.0" style="5"/>
    <col min="2799" max="2799" customWidth="1" bestFit="1" width="10.0" style="5"/>
    <col min="2800" max="2800" customWidth="1" bestFit="1" width="10.0" style="5"/>
    <col min="2801" max="2801" customWidth="1" bestFit="1" width="10.0" style="5"/>
    <col min="2802" max="2802" customWidth="1" bestFit="1" width="10.0" style="5"/>
    <col min="2803" max="2803" customWidth="1" bestFit="1" width="10.0" style="5"/>
    <col min="2804" max="2804" customWidth="1" bestFit="1" width="10.0" style="5"/>
    <col min="2805" max="2805" customWidth="1" bestFit="1" width="10.0" style="5"/>
    <col min="2806" max="2806" customWidth="1" bestFit="1" width="10.0" style="5"/>
    <col min="2807" max="2807" customWidth="1" bestFit="1" width="10.0" style="5"/>
    <col min="2808" max="2808" customWidth="1" bestFit="1" width="10.0" style="5"/>
    <col min="2809" max="2809" customWidth="1" bestFit="1" width="10.0" style="5"/>
    <col min="2810" max="2810" customWidth="1" bestFit="1" width="10.0" style="5"/>
    <col min="2811" max="2811" customWidth="1" bestFit="1" width="10.0" style="5"/>
    <col min="2812" max="2812" customWidth="1" bestFit="1" width="10.0" style="5"/>
    <col min="2813" max="2813" customWidth="1" bestFit="1" width="10.0" style="5"/>
    <col min="2814" max="2814" customWidth="1" bestFit="1" width="10.0" style="5"/>
    <col min="2815" max="2815" customWidth="1" bestFit="1" width="10.0" style="5"/>
    <col min="2816" max="2816" customWidth="1" bestFit="1" width="10.0" style="5"/>
    <col min="2817" max="2817" customWidth="1" bestFit="1" width="10.0" style="5"/>
    <col min="2818" max="2818" customWidth="1" bestFit="1" width="10.0" style="5"/>
    <col min="2819" max="2819" customWidth="1" bestFit="1" width="10.0" style="5"/>
    <col min="2820" max="2820" customWidth="1" bestFit="1" width="10.0" style="5"/>
    <col min="2821" max="2821" customWidth="1" bestFit="1" width="10.0" style="5"/>
    <col min="2822" max="2822" customWidth="1" bestFit="1" width="10.0" style="5"/>
    <col min="2823" max="2823" customWidth="1" bestFit="1" width="10.0" style="5"/>
    <col min="2824" max="2824" customWidth="1" bestFit="1" width="10.0" style="5"/>
    <col min="2825" max="2825" customWidth="1" bestFit="1" width="10.0" style="5"/>
    <col min="2826" max="2826" customWidth="1" bestFit="1" width="10.0" style="5"/>
    <col min="2827" max="2827" customWidth="1" bestFit="1" width="10.0" style="5"/>
    <col min="2828" max="2828" customWidth="1" bestFit="1" width="10.0" style="5"/>
    <col min="2829" max="2829" customWidth="1" bestFit="1" width="10.0" style="5"/>
    <col min="2830" max="2830" customWidth="1" bestFit="1" width="10.0" style="5"/>
    <col min="2831" max="2831" customWidth="1" bestFit="1" width="10.0" style="5"/>
    <col min="2832" max="2832" customWidth="1" bestFit="1" width="10.0" style="5"/>
    <col min="2833" max="2833" customWidth="1" bestFit="1" width="10.0" style="5"/>
    <col min="2834" max="2834" customWidth="1" bestFit="1" width="10.0" style="5"/>
    <col min="2835" max="2835" customWidth="1" bestFit="1" width="10.0" style="5"/>
    <col min="2836" max="2836" customWidth="1" bestFit="1" width="10.0" style="5"/>
    <col min="2837" max="2837" customWidth="1" bestFit="1" width="10.0" style="5"/>
    <col min="2838" max="2838" customWidth="1" bestFit="1" width="10.0" style="5"/>
    <col min="2839" max="2839" customWidth="1" bestFit="1" width="10.0" style="5"/>
    <col min="2840" max="2840" customWidth="1" bestFit="1" width="10.0" style="5"/>
    <col min="2841" max="2841" customWidth="1" bestFit="1" width="10.0" style="5"/>
    <col min="2842" max="2842" customWidth="1" bestFit="1" width="10.0" style="5"/>
    <col min="2843" max="2843" customWidth="1" bestFit="1" width="10.0" style="5"/>
    <col min="2844" max="2844" customWidth="1" bestFit="1" width="10.0" style="5"/>
    <col min="2845" max="2845" customWidth="1" bestFit="1" width="10.0" style="5"/>
    <col min="2846" max="2846" customWidth="1" bestFit="1" width="10.0" style="5"/>
    <col min="2847" max="2847" customWidth="1" bestFit="1" width="10.0" style="5"/>
    <col min="2848" max="2848" customWidth="1" bestFit="1" width="10.0" style="5"/>
    <col min="2849" max="2849" customWidth="1" bestFit="1" width="10.0" style="5"/>
    <col min="2850" max="2850" customWidth="1" bestFit="1" width="10.0" style="5"/>
    <col min="2851" max="2851" customWidth="1" bestFit="1" width="10.0" style="5"/>
    <col min="2852" max="2852" customWidth="1" bestFit="1" width="10.0" style="5"/>
    <col min="2853" max="2853" customWidth="1" bestFit="1" width="10.0" style="5"/>
    <col min="2854" max="2854" customWidth="1" bestFit="1" width="10.0" style="5"/>
    <col min="2855" max="2855" customWidth="1" bestFit="1" width="10.0" style="5"/>
    <col min="2856" max="2856" customWidth="1" bestFit="1" width="10.0" style="5"/>
    <col min="2857" max="2857" customWidth="1" bestFit="1" width="10.0" style="5"/>
    <col min="2858" max="2858" customWidth="1" bestFit="1" width="10.0" style="5"/>
    <col min="2859" max="2859" customWidth="1" bestFit="1" width="10.0" style="5"/>
    <col min="2860" max="2860" customWidth="1" bestFit="1" width="10.0" style="5"/>
    <col min="2861" max="2861" customWidth="1" bestFit="1" width="10.0" style="5"/>
    <col min="2862" max="2862" customWidth="1" bestFit="1" width="10.0" style="5"/>
    <col min="2863" max="2863" customWidth="1" bestFit="1" width="10.0" style="5"/>
    <col min="2864" max="2864" customWidth="1" bestFit="1" width="10.0" style="5"/>
    <col min="2865" max="2865" customWidth="1" bestFit="1" width="10.0" style="5"/>
    <col min="2866" max="2866" customWidth="1" bestFit="1" width="10.0" style="5"/>
    <col min="2867" max="2867" customWidth="1" bestFit="1" width="10.0" style="5"/>
    <col min="2868" max="2868" customWidth="1" bestFit="1" width="10.0" style="5"/>
    <col min="2869" max="2869" customWidth="1" bestFit="1" width="10.0" style="5"/>
    <col min="2870" max="2870" customWidth="1" bestFit="1" width="10.0" style="5"/>
    <col min="2871" max="2871" customWidth="1" bestFit="1" width="10.0" style="5"/>
    <col min="2872" max="2872" customWidth="1" bestFit="1" width="10.0" style="5"/>
    <col min="2873" max="2873" customWidth="1" bestFit="1" width="10.0" style="5"/>
    <col min="2874" max="2874" customWidth="1" bestFit="1" width="10.0" style="5"/>
    <col min="2875" max="2875" customWidth="1" bestFit="1" width="10.0" style="5"/>
    <col min="2876" max="2876" customWidth="1" bestFit="1" width="10.0" style="5"/>
    <col min="2877" max="2877" customWidth="1" bestFit="1" width="10.0" style="5"/>
    <col min="2878" max="2878" customWidth="1" bestFit="1" width="10.0" style="5"/>
    <col min="2879" max="2879" customWidth="1" bestFit="1" width="10.0" style="5"/>
    <col min="2880" max="2880" customWidth="1" bestFit="1" width="10.0" style="5"/>
    <col min="2881" max="2881" customWidth="1" bestFit="1" width="10.0" style="5"/>
    <col min="2882" max="2882" customWidth="1" bestFit="1" width="10.0" style="5"/>
    <col min="2883" max="2883" customWidth="1" bestFit="1" width="10.0" style="5"/>
    <col min="2884" max="2884" customWidth="1" bestFit="1" width="10.0" style="5"/>
    <col min="2885" max="2885" customWidth="1" bestFit="1" width="10.0" style="5"/>
    <col min="2886" max="2886" customWidth="1" bestFit="1" width="10.0" style="5"/>
    <col min="2887" max="2887" customWidth="1" bestFit="1" width="10.0" style="5"/>
    <col min="2888" max="2888" customWidth="1" bestFit="1" width="10.0" style="5"/>
    <col min="2889" max="2889" customWidth="1" bestFit="1" width="10.0" style="5"/>
    <col min="2890" max="2890" customWidth="1" bestFit="1" width="10.0" style="5"/>
    <col min="2891" max="2891" customWidth="1" bestFit="1" width="10.0" style="5"/>
    <col min="2892" max="2892" customWidth="1" bestFit="1" width="10.0" style="5"/>
    <col min="2893" max="2893" customWidth="1" bestFit="1" width="10.0" style="5"/>
    <col min="2894" max="2894" customWidth="1" bestFit="1" width="10.0" style="5"/>
    <col min="2895" max="2895" customWidth="1" bestFit="1" width="10.0" style="5"/>
    <col min="2896" max="2896" customWidth="1" bestFit="1" width="10.0" style="5"/>
    <col min="2897" max="2897" customWidth="1" bestFit="1" width="10.0" style="5"/>
    <col min="2898" max="2898" customWidth="1" bestFit="1" width="10.0" style="5"/>
    <col min="2899" max="2899" customWidth="1" bestFit="1" width="10.0" style="5"/>
    <col min="2900" max="2900" customWidth="1" bestFit="1" width="10.0" style="5"/>
    <col min="2901" max="2901" customWidth="1" bestFit="1" width="10.0" style="5"/>
    <col min="2902" max="2902" customWidth="1" bestFit="1" width="10.0" style="5"/>
    <col min="2903" max="2903" customWidth="1" bestFit="1" width="10.0" style="5"/>
    <col min="2904" max="2904" customWidth="1" bestFit="1" width="10.0" style="5"/>
    <col min="2905" max="2905" customWidth="1" bestFit="1" width="10.0" style="5"/>
    <col min="2906" max="2906" customWidth="1" bestFit="1" width="10.0" style="5"/>
    <col min="2907" max="2907" customWidth="1" bestFit="1" width="10.0" style="5"/>
    <col min="2908" max="2908" customWidth="1" bestFit="1" width="10.0" style="5"/>
    <col min="2909" max="2909" customWidth="1" bestFit="1" width="10.0" style="5"/>
    <col min="2910" max="2910" customWidth="1" bestFit="1" width="10.0" style="5"/>
    <col min="2911" max="2911" customWidth="1" bestFit="1" width="10.0" style="5"/>
    <col min="2912" max="2912" customWidth="1" bestFit="1" width="10.0" style="5"/>
    <col min="2913" max="2913" customWidth="1" bestFit="1" width="10.0" style="5"/>
    <col min="2914" max="2914" customWidth="1" bestFit="1" width="10.0" style="5"/>
    <col min="2915" max="2915" customWidth="1" bestFit="1" width="10.0" style="5"/>
    <col min="2916" max="2916" customWidth="1" bestFit="1" width="10.0" style="5"/>
    <col min="2917" max="2917" customWidth="1" bestFit="1" width="10.0" style="5"/>
    <col min="2918" max="2918" customWidth="1" bestFit="1" width="10.0" style="5"/>
    <col min="2919" max="2919" customWidth="1" bestFit="1" width="10.0" style="5"/>
    <col min="2920" max="2920" customWidth="1" bestFit="1" width="10.0" style="5"/>
    <col min="2921" max="2921" customWidth="1" bestFit="1" width="10.0" style="5"/>
    <col min="2922" max="2922" customWidth="1" bestFit="1" width="10.0" style="5"/>
    <col min="2923" max="2923" customWidth="1" bestFit="1" width="10.0" style="5"/>
    <col min="2924" max="2924" customWidth="1" bestFit="1" width="10.0" style="5"/>
    <col min="2925" max="2925" customWidth="1" bestFit="1" width="10.0" style="5"/>
    <col min="2926" max="2926" customWidth="1" bestFit="1" width="10.0" style="5"/>
    <col min="2927" max="2927" customWidth="1" bestFit="1" width="10.0" style="5"/>
    <col min="2928" max="2928" customWidth="1" bestFit="1" width="10.0" style="5"/>
    <col min="2929" max="2929" customWidth="1" bestFit="1" width="10.0" style="5"/>
    <col min="2930" max="2930" customWidth="1" bestFit="1" width="10.0" style="5"/>
    <col min="2931" max="2931" customWidth="1" bestFit="1" width="10.0" style="5"/>
    <col min="2932" max="2932" customWidth="1" bestFit="1" width="10.0" style="5"/>
    <col min="2933" max="2933" customWidth="1" bestFit="1" width="10.0" style="5"/>
    <col min="2934" max="2934" customWidth="1" bestFit="1" width="10.0" style="5"/>
    <col min="2935" max="2935" customWidth="1" bestFit="1" width="10.0" style="5"/>
    <col min="2936" max="2936" customWidth="1" bestFit="1" width="10.0" style="5"/>
    <col min="2937" max="2937" customWidth="1" bestFit="1" width="10.0" style="5"/>
    <col min="2938" max="2938" customWidth="1" bestFit="1" width="10.0" style="5"/>
    <col min="2939" max="2939" customWidth="1" bestFit="1" width="10.0" style="5"/>
    <col min="2940" max="2940" customWidth="1" bestFit="1" width="10.0" style="5"/>
    <col min="2941" max="2941" customWidth="1" bestFit="1" width="10.0" style="5"/>
    <col min="2942" max="2942" customWidth="1" bestFit="1" width="10.0" style="5"/>
    <col min="2943" max="2943" customWidth="1" bestFit="1" width="10.0" style="5"/>
    <col min="2944" max="2944" customWidth="1" bestFit="1" width="10.0" style="5"/>
    <col min="2945" max="2945" customWidth="1" bestFit="1" width="10.0" style="5"/>
    <col min="2946" max="2946" customWidth="1" bestFit="1" width="10.0" style="5"/>
    <col min="2947" max="2947" customWidth="1" bestFit="1" width="10.0" style="5"/>
    <col min="2948" max="2948" customWidth="1" bestFit="1" width="10.0" style="5"/>
    <col min="2949" max="2949" customWidth="1" bestFit="1" width="10.0" style="5"/>
    <col min="2950" max="2950" customWidth="1" bestFit="1" width="10.0" style="5"/>
    <col min="2951" max="2951" customWidth="1" bestFit="1" width="10.0" style="5"/>
    <col min="2952" max="2952" customWidth="1" bestFit="1" width="10.0" style="5"/>
    <col min="2953" max="2953" customWidth="1" bestFit="1" width="10.0" style="5"/>
    <col min="2954" max="2954" customWidth="1" bestFit="1" width="10.0" style="5"/>
    <col min="2955" max="2955" customWidth="1" bestFit="1" width="10.0" style="5"/>
    <col min="2956" max="2956" customWidth="1" bestFit="1" width="10.0" style="5"/>
    <col min="2957" max="2957" customWidth="1" bestFit="1" width="10.0" style="5"/>
    <col min="2958" max="2958" customWidth="1" bestFit="1" width="10.0" style="5"/>
    <col min="2959" max="2959" customWidth="1" bestFit="1" width="10.0" style="5"/>
    <col min="2960" max="2960" customWidth="1" bestFit="1" width="10.0" style="5"/>
    <col min="2961" max="2961" customWidth="1" bestFit="1" width="10.0" style="5"/>
    <col min="2962" max="2962" customWidth="1" bestFit="1" width="10.0" style="5"/>
    <col min="2963" max="2963" customWidth="1" bestFit="1" width="10.0" style="5"/>
    <col min="2964" max="2964" customWidth="1" bestFit="1" width="10.0" style="5"/>
    <col min="2965" max="2965" customWidth="1" bestFit="1" width="10.0" style="5"/>
    <col min="2966" max="2966" customWidth="1" bestFit="1" width="10.0" style="5"/>
    <col min="2967" max="2967" customWidth="1" bestFit="1" width="10.0" style="5"/>
    <col min="2968" max="2968" customWidth="1" bestFit="1" width="10.0" style="5"/>
    <col min="2969" max="2969" customWidth="1" bestFit="1" width="10.0" style="5"/>
    <col min="2970" max="2970" customWidth="1" bestFit="1" width="10.0" style="5"/>
    <col min="2971" max="2971" customWidth="1" bestFit="1" width="10.0" style="5"/>
    <col min="2972" max="2972" customWidth="1" bestFit="1" width="10.0" style="5"/>
    <col min="2973" max="2973" customWidth="1" bestFit="1" width="10.0" style="5"/>
    <col min="2974" max="2974" customWidth="1" bestFit="1" width="10.0" style="5"/>
    <col min="2975" max="2975" customWidth="1" bestFit="1" width="10.0" style="5"/>
    <col min="2976" max="2976" customWidth="1" bestFit="1" width="10.0" style="5"/>
    <col min="2977" max="2977" customWidth="1" bestFit="1" width="10.0" style="5"/>
    <col min="2978" max="2978" customWidth="1" bestFit="1" width="10.0" style="5"/>
    <col min="2979" max="2979" customWidth="1" bestFit="1" width="10.0" style="5"/>
    <col min="2980" max="2980" customWidth="1" bestFit="1" width="10.0" style="5"/>
    <col min="2981" max="2981" customWidth="1" bestFit="1" width="10.0" style="5"/>
    <col min="2982" max="2982" customWidth="1" bestFit="1" width="10.0" style="5"/>
    <col min="2983" max="2983" customWidth="1" bestFit="1" width="10.0" style="5"/>
    <col min="2984" max="2984" customWidth="1" bestFit="1" width="10.0" style="5"/>
    <col min="2985" max="2985" customWidth="1" bestFit="1" width="10.0" style="5"/>
    <col min="2986" max="2986" customWidth="1" bestFit="1" width="10.0" style="5"/>
    <col min="2987" max="2987" customWidth="1" bestFit="1" width="10.0" style="5"/>
    <col min="2988" max="2988" customWidth="1" bestFit="1" width="10.0" style="5"/>
    <col min="2989" max="2989" customWidth="1" bestFit="1" width="10.0" style="5"/>
    <col min="2990" max="2990" customWidth="1" bestFit="1" width="10.0" style="5"/>
    <col min="2991" max="2991" customWidth="1" bestFit="1" width="10.0" style="5"/>
    <col min="2992" max="2992" customWidth="1" bestFit="1" width="10.0" style="5"/>
    <col min="2993" max="2993" customWidth="1" bestFit="1" width="10.0" style="5"/>
    <col min="2994" max="2994" customWidth="1" bestFit="1" width="10.0" style="5"/>
    <col min="2995" max="2995" customWidth="1" bestFit="1" width="10.0" style="5"/>
    <col min="2996" max="2996" customWidth="1" bestFit="1" width="10.0" style="5"/>
    <col min="2997" max="2997" customWidth="1" bestFit="1" width="10.0" style="5"/>
    <col min="2998" max="2998" customWidth="1" bestFit="1" width="10.0" style="5"/>
    <col min="2999" max="2999" customWidth="1" bestFit="1" width="10.0" style="5"/>
    <col min="3000" max="3000" customWidth="1" bestFit="1" width="10.0" style="5"/>
    <col min="3001" max="3001" customWidth="1" bestFit="1" width="10.0" style="5"/>
    <col min="3002" max="3002" customWidth="1" bestFit="1" width="10.0" style="5"/>
    <col min="3003" max="3003" customWidth="1" bestFit="1" width="10.0" style="5"/>
    <col min="3004" max="3004" customWidth="1" bestFit="1" width="10.0" style="5"/>
    <col min="3005" max="3005" customWidth="1" bestFit="1" width="10.0" style="5"/>
    <col min="3006" max="3006" customWidth="1" bestFit="1" width="10.0" style="5"/>
    <col min="3007" max="3007" customWidth="1" bestFit="1" width="10.0" style="5"/>
    <col min="3008" max="3008" customWidth="1" bestFit="1" width="10.0" style="5"/>
    <col min="3009" max="3009" customWidth="1" bestFit="1" width="10.0" style="5"/>
    <col min="3010" max="3010" customWidth="1" bestFit="1" width="10.0" style="5"/>
    <col min="3011" max="3011" customWidth="1" bestFit="1" width="10.0" style="5"/>
    <col min="3012" max="3012" customWidth="1" bestFit="1" width="10.0" style="5"/>
    <col min="3013" max="3013" customWidth="1" bestFit="1" width="10.0" style="5"/>
    <col min="3014" max="3014" customWidth="1" bestFit="1" width="10.0" style="5"/>
    <col min="3015" max="3015" customWidth="1" bestFit="1" width="10.0" style="5"/>
    <col min="3016" max="3016" customWidth="1" bestFit="1" width="10.0" style="5"/>
    <col min="3017" max="3017" customWidth="1" bestFit="1" width="10.0" style="5"/>
    <col min="3018" max="3018" customWidth="1" bestFit="1" width="10.0" style="5"/>
    <col min="3019" max="3019" customWidth="1" bestFit="1" width="10.0" style="5"/>
    <col min="3020" max="3020" customWidth="1" bestFit="1" width="10.0" style="5"/>
    <col min="3021" max="3021" customWidth="1" bestFit="1" width="10.0" style="5"/>
    <col min="3022" max="3022" customWidth="1" bestFit="1" width="10.0" style="5"/>
    <col min="3023" max="3023" customWidth="1" bestFit="1" width="10.0" style="5"/>
    <col min="3024" max="3024" customWidth="1" bestFit="1" width="10.0" style="5"/>
    <col min="3025" max="3025" customWidth="1" bestFit="1" width="10.0" style="5"/>
    <col min="3026" max="3026" customWidth="1" bestFit="1" width="10.0" style="5"/>
    <col min="3027" max="3027" customWidth="1" bestFit="1" width="10.0" style="5"/>
    <col min="3028" max="3028" customWidth="1" bestFit="1" width="10.0" style="5"/>
    <col min="3029" max="3029" customWidth="1" bestFit="1" width="10.0" style="5"/>
    <col min="3030" max="3030" customWidth="1" bestFit="1" width="10.0" style="5"/>
    <col min="3031" max="3031" customWidth="1" bestFit="1" width="10.0" style="5"/>
    <col min="3032" max="3032" customWidth="1" bestFit="1" width="10.0" style="5"/>
    <col min="3033" max="3033" customWidth="1" bestFit="1" width="10.0" style="5"/>
    <col min="3034" max="3034" customWidth="1" bestFit="1" width="10.0" style="5"/>
    <col min="3035" max="3035" customWidth="1" bestFit="1" width="10.0" style="5"/>
    <col min="3036" max="3036" customWidth="1" bestFit="1" width="10.0" style="5"/>
    <col min="3037" max="3037" customWidth="1" bestFit="1" width="10.0" style="5"/>
    <col min="3038" max="3038" customWidth="1" bestFit="1" width="10.0" style="5"/>
    <col min="3039" max="3039" customWidth="1" bestFit="1" width="10.0" style="5"/>
    <col min="3040" max="3040" customWidth="1" bestFit="1" width="10.0" style="5"/>
    <col min="3041" max="3041" customWidth="1" bestFit="1" width="10.0" style="5"/>
    <col min="3042" max="3042" customWidth="1" bestFit="1" width="10.0" style="5"/>
    <col min="3043" max="3043" customWidth="1" bestFit="1" width="10.0" style="5"/>
    <col min="3044" max="3044" customWidth="1" bestFit="1" width="10.0" style="5"/>
    <col min="3045" max="3045" customWidth="1" bestFit="1" width="10.0" style="5"/>
    <col min="3046" max="3046" customWidth="1" bestFit="1" width="10.0" style="5"/>
    <col min="3047" max="3047" customWidth="1" bestFit="1" width="10.0" style="5"/>
    <col min="3048" max="3048" customWidth="1" bestFit="1" width="10.0" style="5"/>
    <col min="3049" max="3049" customWidth="1" bestFit="1" width="10.0" style="5"/>
    <col min="3050" max="3050" customWidth="1" bestFit="1" width="10.0" style="5"/>
    <col min="3051" max="3051" customWidth="1" bestFit="1" width="10.0" style="5"/>
    <col min="3052" max="3052" customWidth="1" bestFit="1" width="10.0" style="5"/>
    <col min="3053" max="3053" customWidth="1" bestFit="1" width="10.0" style="5"/>
    <col min="3054" max="3054" customWidth="1" bestFit="1" width="10.0" style="5"/>
    <col min="3055" max="3055" customWidth="1" bestFit="1" width="10.0" style="5"/>
    <col min="3056" max="3056" customWidth="1" bestFit="1" width="10.0" style="5"/>
    <col min="3057" max="3057" customWidth="1" bestFit="1" width="10.0" style="5"/>
    <col min="3058" max="3058" customWidth="1" bestFit="1" width="10.0" style="5"/>
    <col min="3059" max="3059" customWidth="1" bestFit="1" width="10.0" style="5"/>
    <col min="3060" max="3060" customWidth="1" bestFit="1" width="10.0" style="5"/>
    <col min="3061" max="3061" customWidth="1" bestFit="1" width="10.0" style="5"/>
    <col min="3062" max="3062" customWidth="1" bestFit="1" width="10.0" style="5"/>
    <col min="3063" max="3063" customWidth="1" bestFit="1" width="10.0" style="5"/>
    <col min="3064" max="3064" customWidth="1" bestFit="1" width="10.0" style="5"/>
    <col min="3065" max="3065" customWidth="1" bestFit="1" width="10.0" style="5"/>
    <col min="3066" max="3066" customWidth="1" bestFit="1" width="10.0" style="5"/>
    <col min="3067" max="3067" customWidth="1" bestFit="1" width="10.0" style="5"/>
    <col min="3068" max="3068" customWidth="1" bestFit="1" width="10.0" style="5"/>
    <col min="3069" max="3069" customWidth="1" bestFit="1" width="10.0" style="5"/>
    <col min="3070" max="3070" customWidth="1" bestFit="1" width="10.0" style="5"/>
    <col min="3071" max="3071" customWidth="1" bestFit="1" width="10.0" style="5"/>
    <col min="3072" max="3072" customWidth="1" bestFit="1" width="10.0" style="5"/>
    <col min="3073" max="3073" customWidth="1" bestFit="1" width="10.0" style="5"/>
    <col min="3074" max="3074" customWidth="1" bestFit="1" width="10.0" style="5"/>
    <col min="3075" max="3075" customWidth="1" bestFit="1" width="10.0" style="5"/>
    <col min="3076" max="3076" customWidth="1" bestFit="1" width="10.0" style="5"/>
    <col min="3077" max="3077" customWidth="1" bestFit="1" width="10.0" style="5"/>
    <col min="3078" max="3078" customWidth="1" bestFit="1" width="10.0" style="5"/>
    <col min="3079" max="3079" customWidth="1" bestFit="1" width="10.0" style="5"/>
    <col min="3080" max="3080" customWidth="1" bestFit="1" width="10.0" style="5"/>
    <col min="3081" max="3081" customWidth="1" bestFit="1" width="10.0" style="5"/>
    <col min="3082" max="3082" customWidth="1" bestFit="1" width="10.0" style="5"/>
    <col min="3083" max="3083" customWidth="1" bestFit="1" width="10.0" style="5"/>
    <col min="3084" max="3084" customWidth="1" bestFit="1" width="10.0" style="5"/>
    <col min="3085" max="3085" customWidth="1" bestFit="1" width="10.0" style="5"/>
    <col min="3086" max="3086" customWidth="1" bestFit="1" width="10.0" style="5"/>
    <col min="3087" max="3087" customWidth="1" bestFit="1" width="10.0" style="5"/>
    <col min="3088" max="3088" customWidth="1" bestFit="1" width="10.0" style="5"/>
    <col min="3089" max="3089" customWidth="1" bestFit="1" width="10.0" style="5"/>
    <col min="3090" max="3090" customWidth="1" bestFit="1" width="10.0" style="5"/>
    <col min="3091" max="3091" customWidth="1" bestFit="1" width="10.0" style="5"/>
    <col min="3092" max="3092" customWidth="1" bestFit="1" width="10.0" style="5"/>
    <col min="3093" max="3093" customWidth="1" bestFit="1" width="10.0" style="5"/>
    <col min="3094" max="3094" customWidth="1" bestFit="1" width="10.0" style="5"/>
    <col min="3095" max="3095" customWidth="1" bestFit="1" width="10.0" style="5"/>
    <col min="3096" max="3096" customWidth="1" bestFit="1" width="10.0" style="5"/>
    <col min="3097" max="3097" customWidth="1" bestFit="1" width="10.0" style="5"/>
    <col min="3098" max="3098" customWidth="1" bestFit="1" width="10.0" style="5"/>
    <col min="3099" max="3099" customWidth="1" bestFit="1" width="10.0" style="5"/>
    <col min="3100" max="3100" customWidth="1" bestFit="1" width="10.0" style="5"/>
    <col min="3101" max="3101" customWidth="1" bestFit="1" width="10.0" style="5"/>
    <col min="3102" max="3102" customWidth="1" bestFit="1" width="10.0" style="5"/>
    <col min="3103" max="3103" customWidth="1" bestFit="1" width="10.0" style="5"/>
    <col min="3104" max="3104" customWidth="1" bestFit="1" width="10.0" style="5"/>
    <col min="3105" max="3105" customWidth="1" bestFit="1" width="10.0" style="5"/>
    <col min="3106" max="3106" customWidth="1" bestFit="1" width="10.0" style="5"/>
    <col min="3107" max="3107" customWidth="1" bestFit="1" width="10.0" style="5"/>
    <col min="3108" max="3108" customWidth="1" bestFit="1" width="10.0" style="5"/>
    <col min="3109" max="3109" customWidth="1" bestFit="1" width="10.0" style="5"/>
    <col min="3110" max="3110" customWidth="1" bestFit="1" width="10.0" style="5"/>
    <col min="3111" max="3111" customWidth="1" bestFit="1" width="10.0" style="5"/>
    <col min="3112" max="3112" customWidth="1" bestFit="1" width="10.0" style="5"/>
    <col min="3113" max="3113" customWidth="1" bestFit="1" width="10.0" style="5"/>
    <col min="3114" max="3114" customWidth="1" bestFit="1" width="10.0" style="5"/>
    <col min="3115" max="3115" customWidth="1" bestFit="1" width="10.0" style="5"/>
    <col min="3116" max="3116" customWidth="1" bestFit="1" width="10.0" style="5"/>
    <col min="3117" max="3117" customWidth="1" bestFit="1" width="10.0" style="5"/>
    <col min="3118" max="3118" customWidth="1" bestFit="1" width="10.0" style="5"/>
    <col min="3119" max="3119" customWidth="1" bestFit="1" width="10.0" style="5"/>
    <col min="3120" max="3120" customWidth="1" bestFit="1" width="10.0" style="5"/>
    <col min="3121" max="3121" customWidth="1" bestFit="1" width="10.0" style="5"/>
    <col min="3122" max="3122" customWidth="1" bestFit="1" width="10.0" style="5"/>
    <col min="3123" max="3123" customWidth="1" bestFit="1" width="10.0" style="5"/>
    <col min="3124" max="3124" customWidth="1" bestFit="1" width="10.0" style="5"/>
    <col min="3125" max="3125" customWidth="1" bestFit="1" width="10.0" style="5"/>
    <col min="3126" max="3126" customWidth="1" bestFit="1" width="10.0" style="5"/>
    <col min="3127" max="3127" customWidth="1" bestFit="1" width="10.0" style="5"/>
    <col min="3128" max="3128" customWidth="1" bestFit="1" width="10.0" style="5"/>
    <col min="3129" max="3129" customWidth="1" bestFit="1" width="10.0" style="5"/>
    <col min="3130" max="3130" customWidth="1" bestFit="1" width="10.0" style="5"/>
    <col min="3131" max="3131" customWidth="1" bestFit="1" width="10.0" style="5"/>
    <col min="3132" max="3132" customWidth="1" bestFit="1" width="10.0" style="5"/>
    <col min="3133" max="3133" customWidth="1" bestFit="1" width="10.0" style="5"/>
    <col min="3134" max="3134" customWidth="1" bestFit="1" width="10.0" style="5"/>
    <col min="3135" max="3135" customWidth="1" bestFit="1" width="10.0" style="5"/>
    <col min="3136" max="3136" customWidth="1" bestFit="1" width="10.0" style="5"/>
    <col min="3137" max="3137" customWidth="1" bestFit="1" width="10.0" style="5"/>
    <col min="3138" max="3138" customWidth="1" bestFit="1" width="10.0" style="5"/>
    <col min="3139" max="3139" customWidth="1" bestFit="1" width="10.0" style="5"/>
    <col min="3140" max="3140" customWidth="1" bestFit="1" width="10.0" style="5"/>
    <col min="3141" max="3141" customWidth="1" bestFit="1" width="10.0" style="5"/>
    <col min="3142" max="3142" customWidth="1" bestFit="1" width="10.0" style="5"/>
    <col min="3143" max="3143" customWidth="1" bestFit="1" width="10.0" style="5"/>
    <col min="3144" max="3144" customWidth="1" bestFit="1" width="10.0" style="5"/>
    <col min="3145" max="3145" customWidth="1" bestFit="1" width="10.0" style="5"/>
    <col min="3146" max="3146" customWidth="1" bestFit="1" width="10.0" style="5"/>
    <col min="3147" max="3147" customWidth="1" bestFit="1" width="10.0" style="5"/>
    <col min="3148" max="3148" customWidth="1" bestFit="1" width="10.0" style="5"/>
    <col min="3149" max="3149" customWidth="1" bestFit="1" width="10.0" style="5"/>
    <col min="3150" max="3150" customWidth="1" bestFit="1" width="10.0" style="5"/>
    <col min="3151" max="3151" customWidth="1" bestFit="1" width="10.0" style="5"/>
    <col min="3152" max="3152" customWidth="1" bestFit="1" width="10.0" style="5"/>
    <col min="3153" max="3153" customWidth="1" bestFit="1" width="10.0" style="5"/>
    <col min="3154" max="3154" customWidth="1" bestFit="1" width="10.0" style="5"/>
    <col min="3155" max="3155" customWidth="1" bestFit="1" width="10.0" style="5"/>
    <col min="3156" max="3156" customWidth="1" bestFit="1" width="10.0" style="5"/>
    <col min="3157" max="3157" customWidth="1" bestFit="1" width="10.0" style="5"/>
    <col min="3158" max="3158" customWidth="1" bestFit="1" width="10.0" style="5"/>
    <col min="3159" max="3159" customWidth="1" bestFit="1" width="10.0" style="5"/>
    <col min="3160" max="3160" customWidth="1" bestFit="1" width="10.0" style="5"/>
    <col min="3161" max="3161" customWidth="1" bestFit="1" width="10.0" style="5"/>
    <col min="3162" max="3162" customWidth="1" bestFit="1" width="10.0" style="5"/>
    <col min="3163" max="3163" customWidth="1" bestFit="1" width="10.0" style="5"/>
    <col min="3164" max="3164" customWidth="1" bestFit="1" width="10.0" style="5"/>
    <col min="3165" max="3165" customWidth="1" bestFit="1" width="10.0" style="5"/>
    <col min="3166" max="3166" customWidth="1" bestFit="1" width="10.0" style="5"/>
    <col min="3167" max="3167" customWidth="1" bestFit="1" width="10.0" style="5"/>
    <col min="3168" max="3168" customWidth="1" bestFit="1" width="10.0" style="5"/>
    <col min="3169" max="3169" customWidth="1" bestFit="1" width="10.0" style="5"/>
    <col min="3170" max="3170" customWidth="1" bestFit="1" width="10.0" style="5"/>
    <col min="3171" max="3171" customWidth="1" bestFit="1" width="10.0" style="5"/>
    <col min="3172" max="3172" customWidth="1" bestFit="1" width="10.0" style="5"/>
    <col min="3173" max="3173" customWidth="1" bestFit="1" width="10.0" style="5"/>
    <col min="3174" max="3174" customWidth="1" bestFit="1" width="10.0" style="5"/>
    <col min="3175" max="3175" customWidth="1" bestFit="1" width="10.0" style="5"/>
    <col min="3176" max="3176" customWidth="1" bestFit="1" width="10.0" style="5"/>
    <col min="3177" max="3177" customWidth="1" bestFit="1" width="10.0" style="5"/>
    <col min="3178" max="3178" customWidth="1" bestFit="1" width="10.0" style="5"/>
    <col min="3179" max="3179" customWidth="1" bestFit="1" width="10.0" style="5"/>
    <col min="3180" max="3180" customWidth="1" bestFit="1" width="10.0" style="5"/>
    <col min="3181" max="3181" customWidth="1" bestFit="1" width="10.0" style="5"/>
    <col min="3182" max="3182" customWidth="1" bestFit="1" width="10.0" style="5"/>
    <col min="3183" max="3183" customWidth="1" bestFit="1" width="10.0" style="5"/>
    <col min="3184" max="3184" customWidth="1" bestFit="1" width="10.0" style="5"/>
    <col min="3185" max="3185" customWidth="1" bestFit="1" width="10.0" style="5"/>
    <col min="3186" max="3186" customWidth="1" bestFit="1" width="10.0" style="5"/>
    <col min="3187" max="3187" customWidth="1" bestFit="1" width="10.0" style="5"/>
    <col min="3188" max="3188" customWidth="1" bestFit="1" width="10.0" style="5"/>
    <col min="3189" max="3189" customWidth="1" bestFit="1" width="10.0" style="5"/>
    <col min="3190" max="3190" customWidth="1" bestFit="1" width="10.0" style="5"/>
    <col min="3191" max="3191" customWidth="1" bestFit="1" width="10.0" style="5"/>
    <col min="3192" max="3192" customWidth="1" bestFit="1" width="10.0" style="5"/>
    <col min="3193" max="3193" customWidth="1" bestFit="1" width="10.0" style="5"/>
    <col min="3194" max="3194" customWidth="1" bestFit="1" width="10.0" style="5"/>
    <col min="3195" max="3195" customWidth="1" bestFit="1" width="10.0" style="5"/>
    <col min="3196" max="3196" customWidth="1" bestFit="1" width="10.0" style="5"/>
    <col min="3197" max="3197" customWidth="1" bestFit="1" width="10.0" style="5"/>
    <col min="3198" max="3198" customWidth="1" bestFit="1" width="10.0" style="5"/>
    <col min="3199" max="3199" customWidth="1" bestFit="1" width="10.0" style="5"/>
    <col min="3200" max="3200" customWidth="1" bestFit="1" width="10.0" style="5"/>
    <col min="3201" max="3201" customWidth="1" bestFit="1" width="10.0" style="5"/>
    <col min="3202" max="3202" customWidth="1" bestFit="1" width="10.0" style="5"/>
    <col min="3203" max="3203" customWidth="1" bestFit="1" width="10.0" style="5"/>
    <col min="3204" max="3204" customWidth="1" bestFit="1" width="10.0" style="5"/>
    <col min="3205" max="3205" customWidth="1" bestFit="1" width="10.0" style="5"/>
    <col min="3206" max="3206" customWidth="1" bestFit="1" width="10.0" style="5"/>
    <col min="3207" max="3207" customWidth="1" bestFit="1" width="10.0" style="5"/>
    <col min="3208" max="3208" customWidth="1" bestFit="1" width="10.0" style="5"/>
    <col min="3209" max="3209" customWidth="1" bestFit="1" width="10.0" style="5"/>
    <col min="3210" max="3210" customWidth="1" bestFit="1" width="10.0" style="5"/>
    <col min="3211" max="3211" customWidth="1" bestFit="1" width="10.0" style="5"/>
    <col min="3212" max="3212" customWidth="1" bestFit="1" width="10.0" style="5"/>
    <col min="3213" max="3213" customWidth="1" bestFit="1" width="10.0" style="5"/>
    <col min="3214" max="3214" customWidth="1" bestFit="1" width="10.0" style="5"/>
    <col min="3215" max="3215" customWidth="1" bestFit="1" width="10.0" style="5"/>
    <col min="3216" max="3216" customWidth="1" bestFit="1" width="10.0" style="5"/>
    <col min="3217" max="3217" customWidth="1" bestFit="1" width="10.0" style="5"/>
    <col min="3218" max="3218" customWidth="1" bestFit="1" width="10.0" style="5"/>
    <col min="3219" max="3219" customWidth="1" bestFit="1" width="10.0" style="5"/>
    <col min="3220" max="3220" customWidth="1" bestFit="1" width="10.0" style="5"/>
    <col min="3221" max="3221" customWidth="1" bestFit="1" width="10.0" style="5"/>
    <col min="3222" max="3222" customWidth="1" bestFit="1" width="10.0" style="5"/>
    <col min="3223" max="3223" customWidth="1" bestFit="1" width="10.0" style="5"/>
    <col min="3224" max="3224" customWidth="1" bestFit="1" width="10.0" style="5"/>
    <col min="3225" max="3225" customWidth="1" bestFit="1" width="10.0" style="5"/>
    <col min="3226" max="3226" customWidth="1" bestFit="1" width="10.0" style="5"/>
    <col min="3227" max="3227" customWidth="1" bestFit="1" width="10.0" style="5"/>
    <col min="3228" max="3228" customWidth="1" bestFit="1" width="10.0" style="5"/>
    <col min="3229" max="3229" customWidth="1" bestFit="1" width="10.0" style="5"/>
    <col min="3230" max="3230" customWidth="1" bestFit="1" width="10.0" style="5"/>
    <col min="3231" max="3231" customWidth="1" bestFit="1" width="10.0" style="5"/>
    <col min="3232" max="3232" customWidth="1" bestFit="1" width="10.0" style="5"/>
    <col min="3233" max="3233" customWidth="1" bestFit="1" width="10.0" style="5"/>
    <col min="3234" max="3234" customWidth="1" bestFit="1" width="10.0" style="5"/>
    <col min="3235" max="3235" customWidth="1" bestFit="1" width="10.0" style="5"/>
    <col min="3236" max="3236" customWidth="1" bestFit="1" width="10.0" style="5"/>
    <col min="3237" max="3237" customWidth="1" bestFit="1" width="10.0" style="5"/>
    <col min="3238" max="3238" customWidth="1" bestFit="1" width="10.0" style="5"/>
    <col min="3239" max="3239" customWidth="1" bestFit="1" width="10.0" style="5"/>
    <col min="3240" max="3240" customWidth="1" bestFit="1" width="10.0" style="5"/>
    <col min="3241" max="3241" customWidth="1" bestFit="1" width="10.0" style="5"/>
    <col min="3242" max="3242" customWidth="1" bestFit="1" width="10.0" style="5"/>
    <col min="3243" max="3243" customWidth="1" bestFit="1" width="10.0" style="5"/>
    <col min="3244" max="3244" customWidth="1" bestFit="1" width="10.0" style="5"/>
    <col min="3245" max="3245" customWidth="1" bestFit="1" width="10.0" style="5"/>
    <col min="3246" max="3246" customWidth="1" bestFit="1" width="10.0" style="5"/>
    <col min="3247" max="3247" customWidth="1" bestFit="1" width="10.0" style="5"/>
    <col min="3248" max="3248" customWidth="1" bestFit="1" width="10.0" style="5"/>
    <col min="3249" max="3249" customWidth="1" bestFit="1" width="10.0" style="5"/>
    <col min="3250" max="3250" customWidth="1" bestFit="1" width="10.0" style="5"/>
    <col min="3251" max="3251" customWidth="1" bestFit="1" width="10.0" style="5"/>
    <col min="3252" max="3252" customWidth="1" bestFit="1" width="10.0" style="5"/>
    <col min="3253" max="3253" customWidth="1" bestFit="1" width="10.0" style="5"/>
    <col min="3254" max="3254" customWidth="1" bestFit="1" width="10.0" style="5"/>
    <col min="3255" max="3255" customWidth="1" bestFit="1" width="10.0" style="5"/>
    <col min="3256" max="3256" customWidth="1" bestFit="1" width="10.0" style="5"/>
    <col min="3257" max="3257" customWidth="1" bestFit="1" width="10.0" style="5"/>
    <col min="3258" max="3258" customWidth="1" bestFit="1" width="10.0" style="5"/>
    <col min="3259" max="3259" customWidth="1" bestFit="1" width="10.0" style="5"/>
    <col min="3260" max="3260" customWidth="1" bestFit="1" width="10.0" style="5"/>
    <col min="3261" max="3261" customWidth="1" bestFit="1" width="10.0" style="5"/>
    <col min="3262" max="3262" customWidth="1" bestFit="1" width="10.0" style="5"/>
    <col min="3263" max="3263" customWidth="1" bestFit="1" width="10.0" style="5"/>
    <col min="3264" max="3264" customWidth="1" bestFit="1" width="10.0" style="5"/>
    <col min="3265" max="3265" customWidth="1" bestFit="1" width="10.0" style="5"/>
    <col min="3266" max="3266" customWidth="1" bestFit="1" width="10.0" style="5"/>
    <col min="3267" max="3267" customWidth="1" bestFit="1" width="10.0" style="5"/>
    <col min="3268" max="3268" customWidth="1" bestFit="1" width="10.0" style="5"/>
    <col min="3269" max="3269" customWidth="1" bestFit="1" width="10.0" style="5"/>
    <col min="3270" max="3270" customWidth="1" bestFit="1" width="10.0" style="5"/>
    <col min="3271" max="3271" customWidth="1" bestFit="1" width="10.0" style="5"/>
    <col min="3272" max="3272" customWidth="1" bestFit="1" width="10.0" style="5"/>
    <col min="3273" max="3273" customWidth="1" bestFit="1" width="10.0" style="5"/>
    <col min="3274" max="3274" customWidth="1" bestFit="1" width="10.0" style="5"/>
    <col min="3275" max="3275" customWidth="1" bestFit="1" width="10.0" style="5"/>
    <col min="3276" max="3276" customWidth="1" bestFit="1" width="10.0" style="5"/>
    <col min="3277" max="3277" customWidth="1" bestFit="1" width="10.0" style="5"/>
    <col min="3278" max="3278" customWidth="1" bestFit="1" width="10.0" style="5"/>
    <col min="3279" max="3279" customWidth="1" bestFit="1" width="10.0" style="5"/>
    <col min="3280" max="3280" customWidth="1" bestFit="1" width="10.0" style="5"/>
    <col min="3281" max="3281" customWidth="1" bestFit="1" width="10.0" style="5"/>
    <col min="3282" max="3282" customWidth="1" bestFit="1" width="10.0" style="5"/>
    <col min="3283" max="3283" customWidth="1" bestFit="1" width="10.0" style="5"/>
    <col min="3284" max="3284" customWidth="1" bestFit="1" width="10.0" style="5"/>
    <col min="3285" max="3285" customWidth="1" bestFit="1" width="10.0" style="5"/>
    <col min="3286" max="3286" customWidth="1" bestFit="1" width="10.0" style="5"/>
    <col min="3287" max="3287" customWidth="1" bestFit="1" width="10.0" style="5"/>
    <col min="3288" max="3288" customWidth="1" bestFit="1" width="10.0" style="5"/>
    <col min="3289" max="3289" customWidth="1" bestFit="1" width="10.0" style="5"/>
    <col min="3290" max="3290" customWidth="1" bestFit="1" width="10.0" style="5"/>
    <col min="3291" max="3291" customWidth="1" bestFit="1" width="10.0" style="5"/>
    <col min="3292" max="3292" customWidth="1" bestFit="1" width="10.0" style="5"/>
    <col min="3293" max="3293" customWidth="1" bestFit="1" width="10.0" style="5"/>
    <col min="3294" max="3294" customWidth="1" bestFit="1" width="10.0" style="5"/>
    <col min="3295" max="3295" customWidth="1" bestFit="1" width="10.0" style="5"/>
    <col min="3296" max="3296" customWidth="1" bestFit="1" width="10.0" style="5"/>
    <col min="3297" max="3297" customWidth="1" bestFit="1" width="10.0" style="5"/>
    <col min="3298" max="3298" customWidth="1" bestFit="1" width="10.0" style="5"/>
    <col min="3299" max="3299" customWidth="1" bestFit="1" width="10.0" style="5"/>
    <col min="3300" max="3300" customWidth="1" bestFit="1" width="10.0" style="5"/>
    <col min="3301" max="3301" customWidth="1" bestFit="1" width="10.0" style="5"/>
    <col min="3302" max="3302" customWidth="1" bestFit="1" width="10.0" style="5"/>
    <col min="3303" max="3303" customWidth="1" bestFit="1" width="10.0" style="5"/>
    <col min="3304" max="3304" customWidth="1" bestFit="1" width="10.0" style="5"/>
    <col min="3305" max="3305" customWidth="1" bestFit="1" width="10.0" style="5"/>
    <col min="3306" max="3306" customWidth="1" bestFit="1" width="10.0" style="5"/>
    <col min="3307" max="3307" customWidth="1" bestFit="1" width="10.0" style="5"/>
    <col min="3308" max="3308" customWidth="1" bestFit="1" width="10.0" style="5"/>
    <col min="3309" max="3309" customWidth="1" bestFit="1" width="10.0" style="5"/>
    <col min="3310" max="3310" customWidth="1" bestFit="1" width="10.0" style="5"/>
    <col min="3311" max="3311" customWidth="1" bestFit="1" width="10.0" style="5"/>
    <col min="3312" max="3312" customWidth="1" bestFit="1" width="10.0" style="5"/>
    <col min="3313" max="3313" customWidth="1" bestFit="1" width="10.0" style="5"/>
    <col min="3314" max="3314" customWidth="1" bestFit="1" width="10.0" style="5"/>
    <col min="3315" max="3315" customWidth="1" bestFit="1" width="10.0" style="5"/>
    <col min="3316" max="3316" customWidth="1" bestFit="1" width="10.0" style="5"/>
    <col min="3317" max="3317" customWidth="1" bestFit="1" width="10.0" style="5"/>
    <col min="3318" max="3318" customWidth="1" bestFit="1" width="10.0" style="5"/>
    <col min="3319" max="3319" customWidth="1" bestFit="1" width="10.0" style="5"/>
    <col min="3320" max="3320" customWidth="1" bestFit="1" width="10.0" style="5"/>
    <col min="3321" max="3321" customWidth="1" bestFit="1" width="10.0" style="5"/>
    <col min="3322" max="3322" customWidth="1" bestFit="1" width="10.0" style="5"/>
    <col min="3323" max="3323" customWidth="1" bestFit="1" width="10.0" style="5"/>
    <col min="3324" max="3324" customWidth="1" bestFit="1" width="10.0" style="5"/>
    <col min="3325" max="3325" customWidth="1" bestFit="1" width="10.0" style="5"/>
    <col min="3326" max="3326" customWidth="1" bestFit="1" width="10.0" style="5"/>
    <col min="3327" max="3327" customWidth="1" bestFit="1" width="10.0" style="5"/>
    <col min="3328" max="3328" customWidth="1" bestFit="1" width="10.0" style="5"/>
    <col min="3329" max="3329" customWidth="1" bestFit="1" width="10.0" style="5"/>
    <col min="3330" max="3330" customWidth="1" bestFit="1" width="10.0" style="5"/>
    <col min="3331" max="3331" customWidth="1" bestFit="1" width="10.0" style="5"/>
    <col min="3332" max="3332" customWidth="1" bestFit="1" width="10.0" style="5"/>
    <col min="3333" max="3333" customWidth="1" bestFit="1" width="10.0" style="5"/>
    <col min="3334" max="3334" customWidth="1" bestFit="1" width="10.0" style="5"/>
    <col min="3335" max="3335" customWidth="1" bestFit="1" width="10.0" style="5"/>
    <col min="3336" max="3336" customWidth="1" bestFit="1" width="10.0" style="5"/>
    <col min="3337" max="3337" customWidth="1" bestFit="1" width="10.0" style="5"/>
    <col min="3338" max="3338" customWidth="1" bestFit="1" width="10.0" style="5"/>
    <col min="3339" max="3339" customWidth="1" bestFit="1" width="10.0" style="5"/>
    <col min="3340" max="3340" customWidth="1" bestFit="1" width="10.0" style="5"/>
    <col min="3341" max="3341" customWidth="1" bestFit="1" width="10.0" style="5"/>
    <col min="3342" max="3342" customWidth="1" bestFit="1" width="10.0" style="5"/>
    <col min="3343" max="3343" customWidth="1" bestFit="1" width="10.0" style="5"/>
    <col min="3344" max="3344" customWidth="1" bestFit="1" width="10.0" style="5"/>
    <col min="3345" max="3345" customWidth="1" bestFit="1" width="10.0" style="5"/>
    <col min="3346" max="3346" customWidth="1" bestFit="1" width="10.0" style="5"/>
    <col min="3347" max="3347" customWidth="1" bestFit="1" width="10.0" style="5"/>
    <col min="3348" max="3348" customWidth="1" bestFit="1" width="10.0" style="5"/>
    <col min="3349" max="3349" customWidth="1" bestFit="1" width="10.0" style="5"/>
    <col min="3350" max="3350" customWidth="1" bestFit="1" width="10.0" style="5"/>
    <col min="3351" max="3351" customWidth="1" bestFit="1" width="10.0" style="5"/>
    <col min="3352" max="3352" customWidth="1" bestFit="1" width="10.0" style="5"/>
    <col min="3353" max="3353" customWidth="1" bestFit="1" width="10.0" style="5"/>
    <col min="3354" max="3354" customWidth="1" bestFit="1" width="10.0" style="5"/>
    <col min="3355" max="3355" customWidth="1" bestFit="1" width="10.0" style="5"/>
    <col min="3356" max="3356" customWidth="1" bestFit="1" width="10.0" style="5"/>
    <col min="3357" max="3357" customWidth="1" bestFit="1" width="10.0" style="5"/>
    <col min="3358" max="3358" customWidth="1" bestFit="1" width="10.0" style="5"/>
    <col min="3359" max="3359" customWidth="1" bestFit="1" width="10.0" style="5"/>
    <col min="3360" max="3360" customWidth="1" bestFit="1" width="10.0" style="5"/>
    <col min="3361" max="3361" customWidth="1" bestFit="1" width="10.0" style="5"/>
    <col min="3362" max="3362" customWidth="1" bestFit="1" width="10.0" style="5"/>
    <col min="3363" max="3363" customWidth="1" bestFit="1" width="10.0" style="5"/>
    <col min="3364" max="3364" customWidth="1" bestFit="1" width="10.0" style="5"/>
    <col min="3365" max="3365" customWidth="1" bestFit="1" width="10.0" style="5"/>
    <col min="3366" max="3366" customWidth="1" bestFit="1" width="10.0" style="5"/>
    <col min="3367" max="3367" customWidth="1" bestFit="1" width="10.0" style="5"/>
    <col min="3368" max="3368" customWidth="1" bestFit="1" width="10.0" style="5"/>
    <col min="3369" max="3369" customWidth="1" bestFit="1" width="10.0" style="5"/>
    <col min="3370" max="3370" customWidth="1" bestFit="1" width="10.0" style="5"/>
    <col min="3371" max="3371" customWidth="1" bestFit="1" width="10.0" style="5"/>
    <col min="3372" max="3372" customWidth="1" bestFit="1" width="10.0" style="5"/>
    <col min="3373" max="3373" customWidth="1" bestFit="1" width="10.0" style="5"/>
    <col min="3374" max="3374" customWidth="1" bestFit="1" width="10.0" style="5"/>
    <col min="3375" max="3375" customWidth="1" bestFit="1" width="10.0" style="5"/>
    <col min="3376" max="3376" customWidth="1" bestFit="1" width="10.0" style="5"/>
    <col min="3377" max="3377" customWidth="1" bestFit="1" width="10.0" style="5"/>
    <col min="3378" max="3378" customWidth="1" bestFit="1" width="10.0" style="5"/>
    <col min="3379" max="3379" customWidth="1" bestFit="1" width="10.0" style="5"/>
    <col min="3380" max="3380" customWidth="1" bestFit="1" width="10.0" style="5"/>
    <col min="3381" max="3381" customWidth="1" bestFit="1" width="10.0" style="5"/>
    <col min="3382" max="3382" customWidth="1" bestFit="1" width="10.0" style="5"/>
    <col min="3383" max="3383" customWidth="1" bestFit="1" width="10.0" style="5"/>
    <col min="3384" max="3384" customWidth="1" bestFit="1" width="10.0" style="5"/>
    <col min="3385" max="3385" customWidth="1" bestFit="1" width="10.0" style="5"/>
    <col min="3386" max="3386" customWidth="1" bestFit="1" width="10.0" style="5"/>
    <col min="3387" max="3387" customWidth="1" bestFit="1" width="10.0" style="5"/>
    <col min="3388" max="3388" customWidth="1" bestFit="1" width="10.0" style="5"/>
    <col min="3389" max="3389" customWidth="1" bestFit="1" width="10.0" style="5"/>
    <col min="3390" max="3390" customWidth="1" bestFit="1" width="10.0" style="5"/>
    <col min="3391" max="3391" customWidth="1" bestFit="1" width="10.0" style="5"/>
    <col min="3392" max="3392" customWidth="1" bestFit="1" width="10.0" style="5"/>
    <col min="3393" max="3393" customWidth="1" bestFit="1" width="10.0" style="5"/>
    <col min="3394" max="3394" customWidth="1" bestFit="1" width="10.0" style="5"/>
    <col min="3395" max="3395" customWidth="1" bestFit="1" width="10.0" style="5"/>
    <col min="3396" max="3396" customWidth="1" bestFit="1" width="10.0" style="5"/>
    <col min="3397" max="3397" customWidth="1" bestFit="1" width="10.0" style="5"/>
    <col min="3398" max="3398" customWidth="1" bestFit="1" width="10.0" style="5"/>
    <col min="3399" max="3399" customWidth="1" bestFit="1" width="10.0" style="5"/>
    <col min="3400" max="3400" customWidth="1" bestFit="1" width="10.0" style="5"/>
    <col min="3401" max="3401" customWidth="1" bestFit="1" width="10.0" style="5"/>
    <col min="3402" max="3402" customWidth="1" bestFit="1" width="10.0" style="5"/>
    <col min="3403" max="3403" customWidth="1" bestFit="1" width="10.0" style="5"/>
    <col min="3404" max="3404" customWidth="1" bestFit="1" width="10.0" style="5"/>
    <col min="3405" max="3405" customWidth="1" bestFit="1" width="10.0" style="5"/>
    <col min="3406" max="3406" customWidth="1" bestFit="1" width="10.0" style="5"/>
    <col min="3407" max="3407" customWidth="1" bestFit="1" width="10.0" style="5"/>
    <col min="3408" max="3408" customWidth="1" bestFit="1" width="10.0" style="5"/>
    <col min="3409" max="3409" customWidth="1" bestFit="1" width="10.0" style="5"/>
    <col min="3410" max="3410" customWidth="1" bestFit="1" width="10.0" style="5"/>
    <col min="3411" max="3411" customWidth="1" bestFit="1" width="10.0" style="5"/>
    <col min="3412" max="3412" customWidth="1" bestFit="1" width="10.0" style="5"/>
    <col min="3413" max="3413" customWidth="1" bestFit="1" width="10.0" style="5"/>
    <col min="3414" max="3414" customWidth="1" bestFit="1" width="10.0" style="5"/>
    <col min="3415" max="3415" customWidth="1" bestFit="1" width="10.0" style="5"/>
    <col min="3416" max="3416" customWidth="1" bestFit="1" width="10.0" style="5"/>
    <col min="3417" max="3417" customWidth="1" bestFit="1" width="10.0" style="5"/>
    <col min="3418" max="3418" customWidth="1" bestFit="1" width="10.0" style="5"/>
    <col min="3419" max="3419" customWidth="1" bestFit="1" width="10.0" style="5"/>
    <col min="3420" max="3420" customWidth="1" bestFit="1" width="10.0" style="5"/>
    <col min="3421" max="3421" customWidth="1" bestFit="1" width="10.0" style="5"/>
    <col min="3422" max="3422" customWidth="1" bestFit="1" width="10.0" style="5"/>
    <col min="3423" max="3423" customWidth="1" bestFit="1" width="10.0" style="5"/>
    <col min="3424" max="3424" customWidth="1" bestFit="1" width="10.0" style="5"/>
    <col min="3425" max="3425" customWidth="1" bestFit="1" width="10.0" style="5"/>
    <col min="3426" max="3426" customWidth="1" bestFit="1" width="10.0" style="5"/>
    <col min="3427" max="3427" customWidth="1" bestFit="1" width="10.0" style="5"/>
    <col min="3428" max="3428" customWidth="1" bestFit="1" width="10.0" style="5"/>
    <col min="3429" max="3429" customWidth="1" bestFit="1" width="10.0" style="5"/>
    <col min="3430" max="3430" customWidth="1" bestFit="1" width="10.0" style="5"/>
    <col min="3431" max="3431" customWidth="1" bestFit="1" width="10.0" style="5"/>
    <col min="3432" max="3432" customWidth="1" bestFit="1" width="10.0" style="5"/>
    <col min="3433" max="3433" customWidth="1" bestFit="1" width="10.0" style="5"/>
    <col min="3434" max="3434" customWidth="1" bestFit="1" width="10.0" style="5"/>
    <col min="3435" max="3435" customWidth="1" bestFit="1" width="10.0" style="5"/>
    <col min="3436" max="3436" customWidth="1" bestFit="1" width="10.0" style="5"/>
    <col min="3437" max="3437" customWidth="1" bestFit="1" width="10.0" style="5"/>
    <col min="3438" max="3438" customWidth="1" bestFit="1" width="10.0" style="5"/>
    <col min="3439" max="3439" customWidth="1" bestFit="1" width="10.0" style="5"/>
    <col min="3440" max="3440" customWidth="1" bestFit="1" width="10.0" style="5"/>
    <col min="3441" max="3441" customWidth="1" bestFit="1" width="10.0" style="5"/>
    <col min="3442" max="3442" customWidth="1" bestFit="1" width="10.0" style="5"/>
    <col min="3443" max="3443" customWidth="1" bestFit="1" width="10.0" style="5"/>
    <col min="3444" max="3444" customWidth="1" bestFit="1" width="10.0" style="5"/>
    <col min="3445" max="3445" customWidth="1" bestFit="1" width="10.0" style="5"/>
    <col min="3446" max="3446" customWidth="1" bestFit="1" width="10.0" style="5"/>
    <col min="3447" max="3447" customWidth="1" bestFit="1" width="10.0" style="5"/>
    <col min="3448" max="3448" customWidth="1" bestFit="1" width="10.0" style="5"/>
    <col min="3449" max="3449" customWidth="1" bestFit="1" width="10.0" style="5"/>
    <col min="3450" max="3450" customWidth="1" bestFit="1" width="10.0" style="5"/>
    <col min="3451" max="3451" customWidth="1" bestFit="1" width="10.0" style="5"/>
    <col min="3452" max="3452" customWidth="1" bestFit="1" width="10.0" style="5"/>
    <col min="3453" max="3453" customWidth="1" bestFit="1" width="10.0" style="5"/>
    <col min="3454" max="3454" customWidth="1" bestFit="1" width="10.0" style="5"/>
    <col min="3455" max="3455" customWidth="1" bestFit="1" width="10.0" style="5"/>
    <col min="3456" max="3456" customWidth="1" bestFit="1" width="10.0" style="5"/>
    <col min="3457" max="3457" customWidth="1" bestFit="1" width="10.0" style="5"/>
    <col min="3458" max="3458" customWidth="1" bestFit="1" width="10.0" style="5"/>
    <col min="3459" max="3459" customWidth="1" bestFit="1" width="10.0" style="5"/>
    <col min="3460" max="3460" customWidth="1" bestFit="1" width="10.0" style="5"/>
    <col min="3461" max="3461" customWidth="1" bestFit="1" width="10.0" style="5"/>
    <col min="3462" max="3462" customWidth="1" bestFit="1" width="10.0" style="5"/>
    <col min="3463" max="3463" customWidth="1" bestFit="1" width="10.0" style="5"/>
    <col min="3464" max="3464" customWidth="1" bestFit="1" width="10.0" style="5"/>
    <col min="3465" max="3465" customWidth="1" bestFit="1" width="10.0" style="5"/>
    <col min="3466" max="3466" customWidth="1" bestFit="1" width="10.0" style="5"/>
    <col min="3467" max="3467" customWidth="1" bestFit="1" width="10.0" style="5"/>
    <col min="3468" max="3468" customWidth="1" bestFit="1" width="10.0" style="5"/>
    <col min="3469" max="3469" customWidth="1" bestFit="1" width="10.0" style="5"/>
    <col min="3470" max="3470" customWidth="1" bestFit="1" width="10.0" style="5"/>
    <col min="3471" max="3471" customWidth="1" bestFit="1" width="10.0" style="5"/>
    <col min="3472" max="3472" customWidth="1" bestFit="1" width="10.0" style="5"/>
    <col min="3473" max="3473" customWidth="1" bestFit="1" width="10.0" style="5"/>
    <col min="3474" max="3474" customWidth="1" bestFit="1" width="10.0" style="5"/>
    <col min="3475" max="3475" customWidth="1" bestFit="1" width="10.0" style="5"/>
    <col min="3476" max="3476" customWidth="1" bestFit="1" width="10.0" style="5"/>
    <col min="3477" max="3477" customWidth="1" bestFit="1" width="10.0" style="5"/>
    <col min="3478" max="3478" customWidth="1" bestFit="1" width="10.0" style="5"/>
    <col min="3479" max="3479" customWidth="1" bestFit="1" width="10.0" style="5"/>
    <col min="3480" max="3480" customWidth="1" bestFit="1" width="10.0" style="5"/>
    <col min="3481" max="3481" customWidth="1" bestFit="1" width="10.0" style="5"/>
    <col min="3482" max="3482" customWidth="1" bestFit="1" width="10.0" style="5"/>
    <col min="3483" max="3483" customWidth="1" bestFit="1" width="10.0" style="5"/>
    <col min="3484" max="3484" customWidth="1" bestFit="1" width="10.0" style="5"/>
    <col min="3485" max="3485" customWidth="1" bestFit="1" width="10.0" style="5"/>
    <col min="3486" max="3486" customWidth="1" bestFit="1" width="10.0" style="5"/>
    <col min="3487" max="3487" customWidth="1" bestFit="1" width="10.0" style="5"/>
    <col min="3488" max="3488" customWidth="1" bestFit="1" width="10.0" style="5"/>
    <col min="3489" max="3489" customWidth="1" bestFit="1" width="10.0" style="5"/>
    <col min="3490" max="3490" customWidth="1" bestFit="1" width="10.0" style="5"/>
    <col min="3491" max="3491" customWidth="1" bestFit="1" width="10.0" style="5"/>
    <col min="3492" max="3492" customWidth="1" bestFit="1" width="10.0" style="5"/>
    <col min="3493" max="3493" customWidth="1" bestFit="1" width="10.0" style="5"/>
    <col min="3494" max="3494" customWidth="1" bestFit="1" width="10.0" style="5"/>
    <col min="3495" max="3495" customWidth="1" bestFit="1" width="10.0" style="5"/>
    <col min="3496" max="3496" customWidth="1" bestFit="1" width="10.0" style="5"/>
    <col min="3497" max="3497" customWidth="1" bestFit="1" width="10.0" style="5"/>
    <col min="3498" max="3498" customWidth="1" bestFit="1" width="10.0" style="5"/>
    <col min="3499" max="3499" customWidth="1" bestFit="1" width="10.0" style="5"/>
    <col min="3500" max="3500" customWidth="1" bestFit="1" width="10.0" style="5"/>
    <col min="3501" max="3501" customWidth="1" bestFit="1" width="10.0" style="5"/>
    <col min="3502" max="3502" customWidth="1" bestFit="1" width="10.0" style="5"/>
    <col min="3503" max="3503" customWidth="1" bestFit="1" width="10.0" style="5"/>
    <col min="3504" max="3504" customWidth="1" bestFit="1" width="10.0" style="5"/>
    <col min="3505" max="3505" customWidth="1" bestFit="1" width="10.0" style="5"/>
    <col min="3506" max="3506" customWidth="1" bestFit="1" width="10.0" style="5"/>
    <col min="3507" max="3507" customWidth="1" bestFit="1" width="10.0" style="5"/>
    <col min="3508" max="3508" customWidth="1" bestFit="1" width="10.0" style="5"/>
    <col min="3509" max="3509" customWidth="1" bestFit="1" width="10.0" style="5"/>
    <col min="3510" max="3510" customWidth="1" bestFit="1" width="10.0" style="5"/>
    <col min="3511" max="3511" customWidth="1" bestFit="1" width="10.0" style="5"/>
    <col min="3512" max="3512" customWidth="1" bestFit="1" width="10.0" style="5"/>
    <col min="3513" max="3513" customWidth="1" bestFit="1" width="10.0" style="5"/>
    <col min="3514" max="3514" customWidth="1" bestFit="1" width="10.0" style="5"/>
    <col min="3515" max="3515" customWidth="1" bestFit="1" width="10.0" style="5"/>
    <col min="3516" max="3516" customWidth="1" bestFit="1" width="10.0" style="5"/>
    <col min="3517" max="3517" customWidth="1" bestFit="1" width="10.0" style="5"/>
    <col min="3518" max="3518" customWidth="1" bestFit="1" width="10.0" style="5"/>
    <col min="3519" max="3519" customWidth="1" bestFit="1" width="10.0" style="5"/>
    <col min="3520" max="3520" customWidth="1" bestFit="1" width="10.0" style="5"/>
    <col min="3521" max="3521" customWidth="1" bestFit="1" width="10.0" style="5"/>
    <col min="3522" max="3522" customWidth="1" bestFit="1" width="10.0" style="5"/>
    <col min="3523" max="3523" customWidth="1" bestFit="1" width="10.0" style="5"/>
    <col min="3524" max="3524" customWidth="1" bestFit="1" width="10.0" style="5"/>
    <col min="3525" max="3525" customWidth="1" bestFit="1" width="10.0" style="5"/>
    <col min="3526" max="3526" customWidth="1" bestFit="1" width="10.0" style="5"/>
    <col min="3527" max="3527" customWidth="1" bestFit="1" width="10.0" style="5"/>
    <col min="3528" max="3528" customWidth="1" bestFit="1" width="10.0" style="5"/>
    <col min="3529" max="3529" customWidth="1" bestFit="1" width="10.0" style="5"/>
    <col min="3530" max="3530" customWidth="1" bestFit="1" width="10.0" style="5"/>
    <col min="3531" max="3531" customWidth="1" bestFit="1" width="10.0" style="5"/>
    <col min="3532" max="3532" customWidth="1" bestFit="1" width="10.0" style="5"/>
    <col min="3533" max="3533" customWidth="1" bestFit="1" width="10.0" style="5"/>
    <col min="3534" max="3534" customWidth="1" bestFit="1" width="10.0" style="5"/>
    <col min="3535" max="3535" customWidth="1" bestFit="1" width="10.0" style="5"/>
    <col min="3536" max="3536" customWidth="1" bestFit="1" width="10.0" style="5"/>
    <col min="3537" max="3537" customWidth="1" bestFit="1" width="10.0" style="5"/>
    <col min="3538" max="3538" customWidth="1" bestFit="1" width="10.0" style="5"/>
    <col min="3539" max="3539" customWidth="1" bestFit="1" width="10.0" style="5"/>
    <col min="3540" max="3540" customWidth="1" bestFit="1" width="10.0" style="5"/>
    <col min="3541" max="3541" customWidth="1" bestFit="1" width="10.0" style="5"/>
    <col min="3542" max="3542" customWidth="1" bestFit="1" width="10.0" style="5"/>
    <col min="3543" max="3543" customWidth="1" bestFit="1" width="10.0" style="5"/>
    <col min="3544" max="3544" customWidth="1" bestFit="1" width="10.0" style="5"/>
    <col min="3545" max="3545" customWidth="1" bestFit="1" width="10.0" style="5"/>
    <col min="3546" max="3546" customWidth="1" bestFit="1" width="10.0" style="5"/>
    <col min="3547" max="3547" customWidth="1" bestFit="1" width="10.0" style="5"/>
    <col min="3548" max="3548" customWidth="1" bestFit="1" width="10.0" style="5"/>
    <col min="3549" max="3549" customWidth="1" bestFit="1" width="10.0" style="5"/>
    <col min="3550" max="3550" customWidth="1" bestFit="1" width="10.0" style="5"/>
    <col min="3551" max="3551" customWidth="1" bestFit="1" width="10.0" style="5"/>
    <col min="3552" max="3552" customWidth="1" bestFit="1" width="10.0" style="5"/>
    <col min="3553" max="3553" customWidth="1" bestFit="1" width="10.0" style="5"/>
    <col min="3554" max="3554" customWidth="1" bestFit="1" width="10.0" style="5"/>
    <col min="3555" max="3555" customWidth="1" bestFit="1" width="10.0" style="5"/>
    <col min="3556" max="3556" customWidth="1" bestFit="1" width="10.0" style="5"/>
    <col min="3557" max="3557" customWidth="1" bestFit="1" width="10.0" style="5"/>
    <col min="3558" max="3558" customWidth="1" bestFit="1" width="10.0" style="5"/>
    <col min="3559" max="3559" customWidth="1" bestFit="1" width="10.0" style="5"/>
    <col min="3560" max="3560" customWidth="1" bestFit="1" width="10.0" style="5"/>
    <col min="3561" max="3561" customWidth="1" bestFit="1" width="10.0" style="5"/>
    <col min="3562" max="3562" customWidth="1" bestFit="1" width="10.0" style="5"/>
    <col min="3563" max="3563" customWidth="1" bestFit="1" width="10.0" style="5"/>
    <col min="3564" max="3564" customWidth="1" bestFit="1" width="10.0" style="5"/>
    <col min="3565" max="3565" customWidth="1" bestFit="1" width="10.0" style="5"/>
    <col min="3566" max="3566" customWidth="1" bestFit="1" width="10.0" style="5"/>
    <col min="3567" max="3567" customWidth="1" bestFit="1" width="10.0" style="5"/>
    <col min="3568" max="3568" customWidth="1" bestFit="1" width="10.0" style="5"/>
    <col min="3569" max="3569" customWidth="1" bestFit="1" width="10.0" style="5"/>
    <col min="3570" max="3570" customWidth="1" bestFit="1" width="10.0" style="5"/>
    <col min="3571" max="3571" customWidth="1" bestFit="1" width="10.0" style="5"/>
    <col min="3572" max="3572" customWidth="1" bestFit="1" width="10.0" style="5"/>
    <col min="3573" max="3573" customWidth="1" bestFit="1" width="10.0" style="5"/>
    <col min="3574" max="3574" customWidth="1" bestFit="1" width="10.0" style="5"/>
    <col min="3575" max="3575" customWidth="1" bestFit="1" width="10.0" style="5"/>
    <col min="3576" max="3576" customWidth="1" bestFit="1" width="10.0" style="5"/>
    <col min="3577" max="3577" customWidth="1" bestFit="1" width="10.0" style="5"/>
    <col min="3578" max="3578" customWidth="1" bestFit="1" width="10.0" style="5"/>
    <col min="3579" max="3579" customWidth="1" bestFit="1" width="10.0" style="5"/>
    <col min="3580" max="3580" customWidth="1" bestFit="1" width="10.0" style="5"/>
    <col min="3581" max="3581" customWidth="1" bestFit="1" width="10.0" style="5"/>
    <col min="3582" max="3582" customWidth="1" bestFit="1" width="10.0" style="5"/>
    <col min="3583" max="3583" customWidth="1" bestFit="1" width="10.0" style="5"/>
    <col min="3584" max="3584" customWidth="1" bestFit="1" width="10.0" style="5"/>
    <col min="3585" max="3585" customWidth="1" bestFit="1" width="10.0" style="5"/>
    <col min="3586" max="3586" customWidth="1" bestFit="1" width="10.0" style="5"/>
    <col min="3587" max="3587" customWidth="1" bestFit="1" width="10.0" style="5"/>
    <col min="3588" max="3588" customWidth="1" bestFit="1" width="10.0" style="5"/>
    <col min="3589" max="3589" customWidth="1" bestFit="1" width="10.0" style="5"/>
    <col min="3590" max="3590" customWidth="1" bestFit="1" width="10.0" style="5"/>
    <col min="3591" max="3591" customWidth="1" bestFit="1" width="10.0" style="5"/>
    <col min="3592" max="3592" customWidth="1" bestFit="1" width="10.0" style="5"/>
    <col min="3593" max="3593" customWidth="1" bestFit="1" width="10.0" style="5"/>
    <col min="3594" max="3594" customWidth="1" bestFit="1" width="10.0" style="5"/>
    <col min="3595" max="3595" customWidth="1" bestFit="1" width="10.0" style="5"/>
    <col min="3596" max="3596" customWidth="1" bestFit="1" width="10.0" style="5"/>
    <col min="3597" max="3597" customWidth="1" bestFit="1" width="10.0" style="5"/>
    <col min="3598" max="3598" customWidth="1" bestFit="1" width="10.0" style="5"/>
    <col min="3599" max="3599" customWidth="1" bestFit="1" width="10.0" style="5"/>
    <col min="3600" max="3600" customWidth="1" bestFit="1" width="10.0" style="5"/>
    <col min="3601" max="3601" customWidth="1" bestFit="1" width="10.0" style="5"/>
    <col min="3602" max="3602" customWidth="1" bestFit="1" width="10.0" style="5"/>
    <col min="3603" max="3603" customWidth="1" bestFit="1" width="10.0" style="5"/>
    <col min="3604" max="3604" customWidth="1" bestFit="1" width="10.0" style="5"/>
    <col min="3605" max="3605" customWidth="1" bestFit="1" width="10.0" style="5"/>
    <col min="3606" max="3606" customWidth="1" bestFit="1" width="10.0" style="5"/>
    <col min="3607" max="3607" customWidth="1" bestFit="1" width="10.0" style="5"/>
    <col min="3608" max="3608" customWidth="1" bestFit="1" width="10.0" style="5"/>
    <col min="3609" max="3609" customWidth="1" bestFit="1" width="10.0" style="5"/>
    <col min="3610" max="3610" customWidth="1" bestFit="1" width="10.0" style="5"/>
    <col min="3611" max="3611" customWidth="1" bestFit="1" width="10.0" style="5"/>
    <col min="3612" max="3612" customWidth="1" bestFit="1" width="10.0" style="5"/>
    <col min="3613" max="3613" customWidth="1" bestFit="1" width="10.0" style="5"/>
    <col min="3614" max="3614" customWidth="1" bestFit="1" width="10.0" style="5"/>
    <col min="3615" max="3615" customWidth="1" bestFit="1" width="10.0" style="5"/>
    <col min="3616" max="3616" customWidth="1" bestFit="1" width="10.0" style="5"/>
    <col min="3617" max="3617" customWidth="1" bestFit="1" width="10.0" style="5"/>
    <col min="3618" max="3618" customWidth="1" bestFit="1" width="10.0" style="5"/>
    <col min="3619" max="3619" customWidth="1" bestFit="1" width="10.0" style="5"/>
    <col min="3620" max="3620" customWidth="1" bestFit="1" width="10.0" style="5"/>
    <col min="3621" max="3621" customWidth="1" bestFit="1" width="10.0" style="5"/>
    <col min="3622" max="3622" customWidth="1" bestFit="1" width="10.0" style="5"/>
    <col min="3623" max="3623" customWidth="1" bestFit="1" width="10.0" style="5"/>
    <col min="3624" max="3624" customWidth="1" bestFit="1" width="10.0" style="5"/>
    <col min="3625" max="3625" customWidth="1" bestFit="1" width="10.0" style="5"/>
    <col min="3626" max="3626" customWidth="1" bestFit="1" width="10.0" style="5"/>
    <col min="3627" max="3627" customWidth="1" bestFit="1" width="10.0" style="5"/>
    <col min="3628" max="3628" customWidth="1" bestFit="1" width="10.0" style="5"/>
    <col min="3629" max="3629" customWidth="1" bestFit="1" width="10.0" style="5"/>
    <col min="3630" max="3630" customWidth="1" bestFit="1" width="10.0" style="5"/>
    <col min="3631" max="3631" customWidth="1" bestFit="1" width="10.0" style="5"/>
    <col min="3632" max="3632" customWidth="1" bestFit="1" width="10.0" style="5"/>
    <col min="3633" max="3633" customWidth="1" bestFit="1" width="10.0" style="5"/>
    <col min="3634" max="3634" customWidth="1" bestFit="1" width="10.0" style="5"/>
    <col min="3635" max="3635" customWidth="1" bestFit="1" width="10.0" style="5"/>
    <col min="3636" max="3636" customWidth="1" bestFit="1" width="10.0" style="5"/>
    <col min="3637" max="3637" customWidth="1" bestFit="1" width="10.0" style="5"/>
    <col min="3638" max="3638" customWidth="1" bestFit="1" width="10.0" style="5"/>
    <col min="3639" max="3639" customWidth="1" bestFit="1" width="10.0" style="5"/>
    <col min="3640" max="3640" customWidth="1" bestFit="1" width="10.0" style="5"/>
    <col min="3641" max="3641" customWidth="1" bestFit="1" width="10.0" style="5"/>
    <col min="3642" max="3642" customWidth="1" bestFit="1" width="10.0" style="5"/>
    <col min="3643" max="3643" customWidth="1" bestFit="1" width="10.0" style="5"/>
    <col min="3644" max="3644" customWidth="1" bestFit="1" width="10.0" style="5"/>
    <col min="3645" max="3645" customWidth="1" bestFit="1" width="10.0" style="5"/>
    <col min="3646" max="3646" customWidth="1" bestFit="1" width="10.0" style="5"/>
    <col min="3647" max="3647" customWidth="1" bestFit="1" width="10.0" style="5"/>
    <col min="3648" max="3648" customWidth="1" bestFit="1" width="10.0" style="5"/>
    <col min="3649" max="3649" customWidth="1" bestFit="1" width="10.0" style="5"/>
    <col min="3650" max="3650" customWidth="1" bestFit="1" width="10.0" style="5"/>
    <col min="3651" max="3651" customWidth="1" bestFit="1" width="10.0" style="5"/>
    <col min="3652" max="3652" customWidth="1" bestFit="1" width="10.0" style="5"/>
    <col min="3653" max="3653" customWidth="1" bestFit="1" width="10.0" style="5"/>
    <col min="3654" max="3654" customWidth="1" bestFit="1" width="10.0" style="5"/>
    <col min="3655" max="3655" customWidth="1" bestFit="1" width="10.0" style="5"/>
    <col min="3656" max="3656" customWidth="1" bestFit="1" width="10.0" style="5"/>
    <col min="3657" max="3657" customWidth="1" bestFit="1" width="10.0" style="5"/>
    <col min="3658" max="3658" customWidth="1" bestFit="1" width="10.0" style="5"/>
    <col min="3659" max="3659" customWidth="1" bestFit="1" width="10.0" style="5"/>
    <col min="3660" max="3660" customWidth="1" bestFit="1" width="10.0" style="5"/>
    <col min="3661" max="3661" customWidth="1" bestFit="1" width="10.0" style="5"/>
    <col min="3662" max="3662" customWidth="1" bestFit="1" width="10.0" style="5"/>
    <col min="3663" max="3663" customWidth="1" bestFit="1" width="10.0" style="5"/>
    <col min="3664" max="3664" customWidth="1" bestFit="1" width="10.0" style="5"/>
    <col min="3665" max="3665" customWidth="1" bestFit="1" width="10.0" style="5"/>
    <col min="3666" max="3666" customWidth="1" bestFit="1" width="10.0" style="5"/>
    <col min="3667" max="3667" customWidth="1" bestFit="1" width="10.0" style="5"/>
    <col min="3668" max="3668" customWidth="1" bestFit="1" width="10.0" style="5"/>
    <col min="3669" max="3669" customWidth="1" bestFit="1" width="10.0" style="5"/>
    <col min="3670" max="3670" customWidth="1" bestFit="1" width="10.0" style="5"/>
    <col min="3671" max="3671" customWidth="1" bestFit="1" width="10.0" style="5"/>
    <col min="3672" max="3672" customWidth="1" bestFit="1" width="10.0" style="5"/>
    <col min="3673" max="3673" customWidth="1" bestFit="1" width="10.0" style="5"/>
    <col min="3674" max="3674" customWidth="1" bestFit="1" width="10.0" style="5"/>
    <col min="3675" max="3675" customWidth="1" bestFit="1" width="10.0" style="5"/>
    <col min="3676" max="3676" customWidth="1" bestFit="1" width="10.0" style="5"/>
    <col min="3677" max="3677" customWidth="1" bestFit="1" width="10.0" style="5"/>
    <col min="3678" max="3678" customWidth="1" bestFit="1" width="10.0" style="5"/>
    <col min="3679" max="3679" customWidth="1" bestFit="1" width="10.0" style="5"/>
    <col min="3680" max="3680" customWidth="1" bestFit="1" width="10.0" style="5"/>
    <col min="3681" max="3681" customWidth="1" bestFit="1" width="10.0" style="5"/>
    <col min="3682" max="3682" customWidth="1" bestFit="1" width="10.0" style="5"/>
    <col min="3683" max="3683" customWidth="1" bestFit="1" width="10.0" style="5"/>
    <col min="3684" max="3684" customWidth="1" bestFit="1" width="10.0" style="5"/>
    <col min="3685" max="3685" customWidth="1" bestFit="1" width="10.0" style="5"/>
    <col min="3686" max="3686" customWidth="1" bestFit="1" width="10.0" style="5"/>
    <col min="3687" max="3687" customWidth="1" bestFit="1" width="10.0" style="5"/>
    <col min="3688" max="3688" customWidth="1" bestFit="1" width="10.0" style="5"/>
    <col min="3689" max="3689" customWidth="1" bestFit="1" width="10.0" style="5"/>
    <col min="3690" max="3690" customWidth="1" bestFit="1" width="10.0" style="5"/>
    <col min="3691" max="3691" customWidth="1" bestFit="1" width="10.0" style="5"/>
    <col min="3692" max="3692" customWidth="1" bestFit="1" width="10.0" style="5"/>
    <col min="3693" max="3693" customWidth="1" bestFit="1" width="10.0" style="5"/>
    <col min="3694" max="3694" customWidth="1" bestFit="1" width="10.0" style="5"/>
    <col min="3695" max="3695" customWidth="1" bestFit="1" width="10.0" style="5"/>
    <col min="3696" max="3696" customWidth="1" bestFit="1" width="10.0" style="5"/>
    <col min="3697" max="3697" customWidth="1" bestFit="1" width="10.0" style="5"/>
    <col min="3698" max="3698" customWidth="1" bestFit="1" width="10.0" style="5"/>
    <col min="3699" max="3699" customWidth="1" bestFit="1" width="10.0" style="5"/>
    <col min="3700" max="3700" customWidth="1" bestFit="1" width="10.0" style="5"/>
    <col min="3701" max="3701" customWidth="1" bestFit="1" width="10.0" style="5"/>
    <col min="3702" max="3702" customWidth="1" bestFit="1" width="10.0" style="5"/>
    <col min="3703" max="3703" customWidth="1" bestFit="1" width="10.0" style="5"/>
    <col min="3704" max="3704" customWidth="1" bestFit="1" width="10.0" style="5"/>
    <col min="3705" max="3705" customWidth="1" bestFit="1" width="10.0" style="5"/>
    <col min="3706" max="3706" customWidth="1" bestFit="1" width="10.0" style="5"/>
    <col min="3707" max="3707" customWidth="1" bestFit="1" width="10.0" style="5"/>
    <col min="3708" max="3708" customWidth="1" bestFit="1" width="10.0" style="5"/>
    <col min="3709" max="3709" customWidth="1" bestFit="1" width="10.0" style="5"/>
    <col min="3710" max="3710" customWidth="1" bestFit="1" width="10.0" style="5"/>
    <col min="3711" max="3711" customWidth="1" bestFit="1" width="10.0" style="5"/>
    <col min="3712" max="3712" customWidth="1" bestFit="1" width="10.0" style="5"/>
    <col min="3713" max="3713" customWidth="1" bestFit="1" width="10.0" style="5"/>
    <col min="3714" max="3714" customWidth="1" bestFit="1" width="10.0" style="5"/>
    <col min="3715" max="3715" customWidth="1" bestFit="1" width="10.0" style="5"/>
    <col min="3716" max="3716" customWidth="1" bestFit="1" width="10.0" style="5"/>
    <col min="3717" max="3717" customWidth="1" bestFit="1" width="10.0" style="5"/>
    <col min="3718" max="3718" customWidth="1" bestFit="1" width="10.0" style="5"/>
    <col min="3719" max="3719" customWidth="1" bestFit="1" width="10.0" style="5"/>
    <col min="3720" max="3720" customWidth="1" bestFit="1" width="10.0" style="5"/>
    <col min="3721" max="3721" customWidth="1" bestFit="1" width="10.0" style="5"/>
    <col min="3722" max="3722" customWidth="1" bestFit="1" width="10.0" style="5"/>
    <col min="3723" max="3723" customWidth="1" bestFit="1" width="10.0" style="5"/>
    <col min="3724" max="3724" customWidth="1" bestFit="1" width="10.0" style="5"/>
    <col min="3725" max="3725" customWidth="1" bestFit="1" width="10.0" style="5"/>
    <col min="3726" max="3726" customWidth="1" bestFit="1" width="10.0" style="5"/>
    <col min="3727" max="3727" customWidth="1" bestFit="1" width="10.0" style="5"/>
    <col min="3728" max="3728" customWidth="1" bestFit="1" width="10.0" style="5"/>
    <col min="3729" max="3729" customWidth="1" bestFit="1" width="10.0" style="5"/>
    <col min="3730" max="3730" customWidth="1" bestFit="1" width="10.0" style="5"/>
    <col min="3731" max="3731" customWidth="1" bestFit="1" width="10.0" style="5"/>
    <col min="3732" max="3732" customWidth="1" bestFit="1" width="10.0" style="5"/>
    <col min="3733" max="3733" customWidth="1" bestFit="1" width="10.0" style="5"/>
    <col min="3734" max="3734" customWidth="1" bestFit="1" width="10.0" style="5"/>
    <col min="3735" max="3735" customWidth="1" bestFit="1" width="10.0" style="5"/>
    <col min="3736" max="3736" customWidth="1" bestFit="1" width="10.0" style="5"/>
    <col min="3737" max="3737" customWidth="1" bestFit="1" width="10.0" style="5"/>
    <col min="3738" max="3738" customWidth="1" bestFit="1" width="10.0" style="5"/>
    <col min="3739" max="3739" customWidth="1" bestFit="1" width="10.0" style="5"/>
    <col min="3740" max="3740" customWidth="1" bestFit="1" width="10.0" style="5"/>
    <col min="3741" max="3741" customWidth="1" bestFit="1" width="10.0" style="5"/>
    <col min="3742" max="3742" customWidth="1" bestFit="1" width="10.0" style="5"/>
    <col min="3743" max="3743" customWidth="1" bestFit="1" width="10.0" style="5"/>
    <col min="3744" max="3744" customWidth="1" bestFit="1" width="10.0" style="5"/>
    <col min="3745" max="3745" customWidth="1" bestFit="1" width="10.0" style="5"/>
    <col min="3746" max="3746" customWidth="1" bestFit="1" width="10.0" style="5"/>
    <col min="3747" max="3747" customWidth="1" bestFit="1" width="10.0" style="5"/>
    <col min="3748" max="3748" customWidth="1" bestFit="1" width="10.0" style="5"/>
    <col min="3749" max="3749" customWidth="1" bestFit="1" width="10.0" style="5"/>
    <col min="3750" max="3750" customWidth="1" bestFit="1" width="10.0" style="5"/>
    <col min="3751" max="3751" customWidth="1" bestFit="1" width="10.0" style="5"/>
    <col min="3752" max="3752" customWidth="1" bestFit="1" width="10.0" style="5"/>
    <col min="3753" max="3753" customWidth="1" bestFit="1" width="10.0" style="5"/>
    <col min="3754" max="3754" customWidth="1" bestFit="1" width="10.0" style="5"/>
    <col min="3755" max="3755" customWidth="1" bestFit="1" width="10.0" style="5"/>
    <col min="3756" max="3756" customWidth="1" bestFit="1" width="10.0" style="5"/>
    <col min="3757" max="3757" customWidth="1" bestFit="1" width="10.0" style="5"/>
    <col min="3758" max="3758" customWidth="1" bestFit="1" width="10.0" style="5"/>
    <col min="3759" max="3759" customWidth="1" bestFit="1" width="10.0" style="5"/>
    <col min="3760" max="3760" customWidth="1" bestFit="1" width="10.0" style="5"/>
    <col min="3761" max="3761" customWidth="1" bestFit="1" width="10.0" style="5"/>
    <col min="3762" max="3762" customWidth="1" bestFit="1" width="10.0" style="5"/>
    <col min="3763" max="3763" customWidth="1" bestFit="1" width="10.0" style="5"/>
    <col min="3764" max="3764" customWidth="1" bestFit="1" width="10.0" style="5"/>
    <col min="3765" max="3765" customWidth="1" bestFit="1" width="10.0" style="5"/>
    <col min="3766" max="3766" customWidth="1" bestFit="1" width="10.0" style="5"/>
    <col min="3767" max="3767" customWidth="1" bestFit="1" width="10.0" style="5"/>
    <col min="3768" max="3768" customWidth="1" bestFit="1" width="10.0" style="5"/>
    <col min="3769" max="3769" customWidth="1" bestFit="1" width="10.0" style="5"/>
    <col min="3770" max="3770" customWidth="1" bestFit="1" width="10.0" style="5"/>
    <col min="3771" max="3771" customWidth="1" bestFit="1" width="10.0" style="5"/>
    <col min="3772" max="3772" customWidth="1" bestFit="1" width="10.0" style="5"/>
    <col min="3773" max="3773" customWidth="1" bestFit="1" width="10.0" style="5"/>
    <col min="3774" max="3774" customWidth="1" bestFit="1" width="10.0" style="5"/>
    <col min="3775" max="3775" customWidth="1" bestFit="1" width="10.0" style="5"/>
    <col min="3776" max="3776" customWidth="1" bestFit="1" width="10.0" style="5"/>
    <col min="3777" max="3777" customWidth="1" bestFit="1" width="10.0" style="5"/>
    <col min="3778" max="3778" customWidth="1" bestFit="1" width="10.0" style="5"/>
    <col min="3779" max="3779" customWidth="1" bestFit="1" width="10.0" style="5"/>
    <col min="3780" max="3780" customWidth="1" bestFit="1" width="10.0" style="5"/>
    <col min="3781" max="3781" customWidth="1" bestFit="1" width="10.0" style="5"/>
    <col min="3782" max="3782" customWidth="1" bestFit="1" width="10.0" style="5"/>
    <col min="3783" max="3783" customWidth="1" bestFit="1" width="10.0" style="5"/>
    <col min="3784" max="3784" customWidth="1" bestFit="1" width="10.0" style="5"/>
    <col min="3785" max="3785" customWidth="1" bestFit="1" width="10.0" style="5"/>
    <col min="3786" max="3786" customWidth="1" bestFit="1" width="10.0" style="5"/>
    <col min="3787" max="3787" customWidth="1" bestFit="1" width="10.0" style="5"/>
    <col min="3788" max="3788" customWidth="1" bestFit="1" width="10.0" style="5"/>
    <col min="3789" max="3789" customWidth="1" bestFit="1" width="10.0" style="5"/>
    <col min="3790" max="3790" customWidth="1" bestFit="1" width="10.0" style="5"/>
    <col min="3791" max="3791" customWidth="1" bestFit="1" width="10.0" style="5"/>
    <col min="3792" max="3792" customWidth="1" bestFit="1" width="10.0" style="5"/>
    <col min="3793" max="3793" customWidth="1" bestFit="1" width="10.0" style="5"/>
    <col min="3794" max="3794" customWidth="1" bestFit="1" width="10.0" style="5"/>
    <col min="3795" max="3795" customWidth="1" bestFit="1" width="10.0" style="5"/>
    <col min="3796" max="3796" customWidth="1" bestFit="1" width="10.0" style="5"/>
    <col min="3797" max="3797" customWidth="1" bestFit="1" width="10.0" style="5"/>
    <col min="3798" max="3798" customWidth="1" bestFit="1" width="10.0" style="5"/>
    <col min="3799" max="3799" customWidth="1" bestFit="1" width="10.0" style="5"/>
    <col min="3800" max="3800" customWidth="1" bestFit="1" width="10.0" style="5"/>
    <col min="3801" max="3801" customWidth="1" bestFit="1" width="10.0" style="5"/>
    <col min="3802" max="3802" customWidth="1" bestFit="1" width="10.0" style="5"/>
    <col min="3803" max="3803" customWidth="1" bestFit="1" width="10.0" style="5"/>
    <col min="3804" max="3804" customWidth="1" bestFit="1" width="10.0" style="5"/>
    <col min="3805" max="3805" customWidth="1" bestFit="1" width="10.0" style="5"/>
    <col min="3806" max="3806" customWidth="1" bestFit="1" width="10.0" style="5"/>
    <col min="3807" max="3807" customWidth="1" bestFit="1" width="10.0" style="5"/>
    <col min="3808" max="3808" customWidth="1" bestFit="1" width="10.0" style="5"/>
    <col min="3809" max="3809" customWidth="1" bestFit="1" width="10.0" style="5"/>
    <col min="3810" max="3810" customWidth="1" bestFit="1" width="10.0" style="5"/>
    <col min="3811" max="3811" customWidth="1" bestFit="1" width="10.0" style="5"/>
    <col min="3812" max="3812" customWidth="1" bestFit="1" width="10.0" style="5"/>
    <col min="3813" max="3813" customWidth="1" bestFit="1" width="10.0" style="5"/>
    <col min="3814" max="3814" customWidth="1" bestFit="1" width="10.0" style="5"/>
    <col min="3815" max="3815" customWidth="1" bestFit="1" width="10.0" style="5"/>
    <col min="3816" max="3816" customWidth="1" bestFit="1" width="10.0" style="5"/>
    <col min="3817" max="3817" customWidth="1" bestFit="1" width="10.0" style="5"/>
    <col min="3818" max="3818" customWidth="1" bestFit="1" width="10.0" style="5"/>
    <col min="3819" max="3819" customWidth="1" bestFit="1" width="10.0" style="5"/>
    <col min="3820" max="3820" customWidth="1" bestFit="1" width="10.0" style="5"/>
    <col min="3821" max="3821" customWidth="1" bestFit="1" width="10.0" style="5"/>
    <col min="3822" max="3822" customWidth="1" bestFit="1" width="10.0" style="5"/>
    <col min="3823" max="3823" customWidth="1" bestFit="1" width="10.0" style="5"/>
    <col min="3824" max="3824" customWidth="1" bestFit="1" width="10.0" style="5"/>
    <col min="3825" max="3825" customWidth="1" bestFit="1" width="10.0" style="5"/>
    <col min="3826" max="3826" customWidth="1" bestFit="1" width="10.0" style="5"/>
    <col min="3827" max="3827" customWidth="1" bestFit="1" width="10.0" style="5"/>
    <col min="3828" max="3828" customWidth="1" bestFit="1" width="10.0" style="5"/>
    <col min="3829" max="3829" customWidth="1" bestFit="1" width="10.0" style="5"/>
    <col min="3830" max="3830" customWidth="1" bestFit="1" width="10.0" style="5"/>
    <col min="3831" max="3831" customWidth="1" bestFit="1" width="10.0" style="5"/>
    <col min="3832" max="3832" customWidth="1" bestFit="1" width="10.0" style="5"/>
    <col min="3833" max="3833" customWidth="1" bestFit="1" width="10.0" style="5"/>
    <col min="3834" max="3834" customWidth="1" bestFit="1" width="10.0" style="5"/>
    <col min="3835" max="3835" customWidth="1" bestFit="1" width="10.0" style="5"/>
    <col min="3836" max="3836" customWidth="1" bestFit="1" width="10.0" style="5"/>
    <col min="3837" max="3837" customWidth="1" bestFit="1" width="10.0" style="5"/>
    <col min="3838" max="3838" customWidth="1" bestFit="1" width="10.0" style="5"/>
    <col min="3839" max="3839" customWidth="1" bestFit="1" width="10.0" style="5"/>
    <col min="3840" max="3840" customWidth="1" bestFit="1" width="10.0" style="5"/>
    <col min="3841" max="3841" customWidth="1" bestFit="1" width="10.0" style="5"/>
    <col min="3842" max="3842" customWidth="1" bestFit="1" width="10.0" style="5"/>
    <col min="3843" max="3843" customWidth="1" bestFit="1" width="10.0" style="5"/>
    <col min="3844" max="3844" customWidth="1" bestFit="1" width="10.0" style="5"/>
    <col min="3845" max="3845" customWidth="1" bestFit="1" width="10.0" style="5"/>
    <col min="3846" max="3846" customWidth="1" bestFit="1" width="10.0" style="5"/>
    <col min="3847" max="3847" customWidth="1" bestFit="1" width="10.0" style="5"/>
    <col min="3848" max="3848" customWidth="1" bestFit="1" width="10.0" style="5"/>
    <col min="3849" max="3849" customWidth="1" bestFit="1" width="10.0" style="5"/>
    <col min="3850" max="3850" customWidth="1" bestFit="1" width="10.0" style="5"/>
    <col min="3851" max="3851" customWidth="1" bestFit="1" width="10.0" style="5"/>
    <col min="3852" max="3852" customWidth="1" bestFit="1" width="10.0" style="5"/>
    <col min="3853" max="3853" customWidth="1" bestFit="1" width="10.0" style="5"/>
    <col min="3854" max="3854" customWidth="1" bestFit="1" width="10.0" style="5"/>
    <col min="3855" max="3855" customWidth="1" bestFit="1" width="10.0" style="5"/>
    <col min="3856" max="3856" customWidth="1" bestFit="1" width="10.0" style="5"/>
    <col min="3857" max="3857" customWidth="1" bestFit="1" width="10.0" style="5"/>
    <col min="3858" max="3858" customWidth="1" bestFit="1" width="10.0" style="5"/>
    <col min="3859" max="3859" customWidth="1" bestFit="1" width="10.0" style="5"/>
    <col min="3860" max="3860" customWidth="1" bestFit="1" width="10.0" style="5"/>
    <col min="3861" max="3861" customWidth="1" bestFit="1" width="10.0" style="5"/>
    <col min="3862" max="3862" customWidth="1" bestFit="1" width="10.0" style="5"/>
    <col min="3863" max="3863" customWidth="1" bestFit="1" width="10.0" style="5"/>
    <col min="3864" max="3864" customWidth="1" bestFit="1" width="10.0" style="5"/>
    <col min="3865" max="3865" customWidth="1" bestFit="1" width="10.0" style="5"/>
    <col min="3866" max="3866" customWidth="1" bestFit="1" width="10.0" style="5"/>
    <col min="3867" max="3867" customWidth="1" bestFit="1" width="10.0" style="5"/>
    <col min="3868" max="3868" customWidth="1" bestFit="1" width="10.0" style="5"/>
    <col min="3869" max="3869" customWidth="1" bestFit="1" width="10.0" style="5"/>
    <col min="3870" max="3870" customWidth="1" bestFit="1" width="10.0" style="5"/>
    <col min="3871" max="3871" customWidth="1" bestFit="1" width="10.0" style="5"/>
    <col min="3872" max="3872" customWidth="1" bestFit="1" width="10.0" style="5"/>
    <col min="3873" max="3873" customWidth="1" bestFit="1" width="10.0" style="5"/>
    <col min="3874" max="3874" customWidth="1" bestFit="1" width="10.0" style="5"/>
    <col min="3875" max="3875" customWidth="1" bestFit="1" width="10.0" style="5"/>
    <col min="3876" max="3876" customWidth="1" bestFit="1" width="10.0" style="5"/>
    <col min="3877" max="3877" customWidth="1" bestFit="1" width="10.0" style="5"/>
    <col min="3878" max="3878" customWidth="1" bestFit="1" width="10.0" style="5"/>
    <col min="3879" max="3879" customWidth="1" bestFit="1" width="10.0" style="5"/>
    <col min="3880" max="3880" customWidth="1" bestFit="1" width="10.0" style="5"/>
    <col min="3881" max="3881" customWidth="1" bestFit="1" width="10.0" style="5"/>
    <col min="3882" max="3882" customWidth="1" bestFit="1" width="10.0" style="5"/>
    <col min="3883" max="3883" customWidth="1" bestFit="1" width="10.0" style="5"/>
    <col min="3884" max="3884" customWidth="1" bestFit="1" width="10.0" style="5"/>
    <col min="3885" max="3885" customWidth="1" bestFit="1" width="10.0" style="5"/>
    <col min="3886" max="3886" customWidth="1" bestFit="1" width="10.0" style="5"/>
    <col min="3887" max="3887" customWidth="1" bestFit="1" width="10.0" style="5"/>
    <col min="3888" max="3888" customWidth="1" bestFit="1" width="10.0" style="5"/>
    <col min="3889" max="3889" customWidth="1" bestFit="1" width="10.0" style="5"/>
    <col min="3890" max="3890" customWidth="1" bestFit="1" width="10.0" style="5"/>
    <col min="3891" max="3891" customWidth="1" bestFit="1" width="10.0" style="5"/>
    <col min="3892" max="3892" customWidth="1" bestFit="1" width="10.0" style="5"/>
    <col min="3893" max="3893" customWidth="1" bestFit="1" width="10.0" style="5"/>
    <col min="3894" max="3894" customWidth="1" bestFit="1" width="10.0" style="5"/>
    <col min="3895" max="3895" customWidth="1" bestFit="1" width="10.0" style="5"/>
    <col min="3896" max="3896" customWidth="1" bestFit="1" width="10.0" style="5"/>
    <col min="3897" max="3897" customWidth="1" bestFit="1" width="10.0" style="5"/>
    <col min="3898" max="3898" customWidth="1" bestFit="1" width="10.0" style="5"/>
    <col min="3899" max="3899" customWidth="1" bestFit="1" width="10.0" style="5"/>
    <col min="3900" max="3900" customWidth="1" bestFit="1" width="10.0" style="5"/>
    <col min="3901" max="3901" customWidth="1" bestFit="1" width="10.0" style="5"/>
    <col min="3902" max="3902" customWidth="1" bestFit="1" width="10.0" style="5"/>
    <col min="3903" max="3903" customWidth="1" bestFit="1" width="10.0" style="5"/>
    <col min="3904" max="3904" customWidth="1" bestFit="1" width="10.0" style="5"/>
    <col min="3905" max="3905" customWidth="1" bestFit="1" width="10.0" style="5"/>
    <col min="3906" max="3906" customWidth="1" bestFit="1" width="10.0" style="5"/>
    <col min="3907" max="3907" customWidth="1" bestFit="1" width="10.0" style="5"/>
    <col min="3908" max="3908" customWidth="1" bestFit="1" width="10.0" style="5"/>
    <col min="3909" max="3909" customWidth="1" bestFit="1" width="10.0" style="5"/>
    <col min="3910" max="3910" customWidth="1" bestFit="1" width="10.0" style="5"/>
    <col min="3911" max="3911" customWidth="1" bestFit="1" width="10.0" style="5"/>
    <col min="3912" max="3912" customWidth="1" bestFit="1" width="10.0" style="5"/>
    <col min="3913" max="3913" customWidth="1" bestFit="1" width="10.0" style="5"/>
    <col min="3914" max="3914" customWidth="1" bestFit="1" width="10.0" style="5"/>
    <col min="3915" max="3915" customWidth="1" bestFit="1" width="10.0" style="5"/>
    <col min="3916" max="3916" customWidth="1" bestFit="1" width="10.0" style="5"/>
    <col min="3917" max="3917" customWidth="1" bestFit="1" width="10.0" style="5"/>
    <col min="3918" max="3918" customWidth="1" bestFit="1" width="10.0" style="5"/>
    <col min="3919" max="3919" customWidth="1" bestFit="1" width="10.0" style="5"/>
    <col min="3920" max="3920" customWidth="1" bestFit="1" width="10.0" style="5"/>
    <col min="3921" max="3921" customWidth="1" bestFit="1" width="10.0" style="5"/>
    <col min="3922" max="3922" customWidth="1" bestFit="1" width="10.0" style="5"/>
    <col min="3923" max="3923" customWidth="1" bestFit="1" width="10.0" style="5"/>
    <col min="3924" max="3924" customWidth="1" bestFit="1" width="10.0" style="5"/>
    <col min="3925" max="3925" customWidth="1" bestFit="1" width="10.0" style="5"/>
    <col min="3926" max="3926" customWidth="1" bestFit="1" width="10.0" style="5"/>
    <col min="3927" max="3927" customWidth="1" bestFit="1" width="10.0" style="5"/>
    <col min="3928" max="3928" customWidth="1" bestFit="1" width="10.0" style="5"/>
    <col min="3929" max="3929" customWidth="1" bestFit="1" width="10.0" style="5"/>
    <col min="3930" max="3930" customWidth="1" bestFit="1" width="10.0" style="5"/>
    <col min="3931" max="3931" customWidth="1" bestFit="1" width="10.0" style="5"/>
    <col min="3932" max="3932" customWidth="1" bestFit="1" width="10.0" style="5"/>
    <col min="3933" max="3933" customWidth="1" bestFit="1" width="10.0" style="5"/>
    <col min="3934" max="3934" customWidth="1" bestFit="1" width="10.0" style="5"/>
    <col min="3935" max="3935" customWidth="1" bestFit="1" width="10.0" style="5"/>
    <col min="3936" max="3936" customWidth="1" bestFit="1" width="10.0" style="5"/>
    <col min="3937" max="3937" customWidth="1" bestFit="1" width="10.0" style="5"/>
    <col min="3938" max="3938" customWidth="1" bestFit="1" width="10.0" style="5"/>
    <col min="3939" max="3939" customWidth="1" bestFit="1" width="10.0" style="5"/>
    <col min="3940" max="3940" customWidth="1" bestFit="1" width="10.0" style="5"/>
    <col min="3941" max="3941" customWidth="1" bestFit="1" width="10.0" style="5"/>
    <col min="3942" max="3942" customWidth="1" bestFit="1" width="10.0" style="5"/>
    <col min="3943" max="3943" customWidth="1" bestFit="1" width="10.0" style="5"/>
    <col min="3944" max="3944" customWidth="1" bestFit="1" width="10.0" style="5"/>
    <col min="3945" max="3945" customWidth="1" bestFit="1" width="10.0" style="5"/>
    <col min="3946" max="3946" customWidth="1" bestFit="1" width="10.0" style="5"/>
    <col min="3947" max="3947" customWidth="1" bestFit="1" width="10.0" style="5"/>
    <col min="3948" max="3948" customWidth="1" bestFit="1" width="10.0" style="5"/>
    <col min="3949" max="3949" customWidth="1" bestFit="1" width="10.0" style="5"/>
    <col min="3950" max="3950" customWidth="1" bestFit="1" width="10.0" style="5"/>
    <col min="3951" max="3951" customWidth="1" bestFit="1" width="10.0" style="5"/>
    <col min="3952" max="3952" customWidth="1" bestFit="1" width="10.0" style="5"/>
    <col min="3953" max="3953" customWidth="1" bestFit="1" width="10.0" style="5"/>
    <col min="3954" max="3954" customWidth="1" bestFit="1" width="10.0" style="5"/>
    <col min="3955" max="3955" customWidth="1" bestFit="1" width="10.0" style="5"/>
    <col min="3956" max="3956" customWidth="1" bestFit="1" width="10.0" style="5"/>
    <col min="3957" max="3957" customWidth="1" bestFit="1" width="10.0" style="5"/>
    <col min="3958" max="3958" customWidth="1" bestFit="1" width="10.0" style="5"/>
    <col min="3959" max="3959" customWidth="1" bestFit="1" width="10.0" style="5"/>
    <col min="3960" max="3960" customWidth="1" bestFit="1" width="10.0" style="5"/>
    <col min="3961" max="3961" customWidth="1" bestFit="1" width="10.0" style="5"/>
    <col min="3962" max="3962" customWidth="1" bestFit="1" width="10.0" style="5"/>
    <col min="3963" max="3963" customWidth="1" bestFit="1" width="10.0" style="5"/>
    <col min="3964" max="3964" customWidth="1" bestFit="1" width="10.0" style="5"/>
    <col min="3965" max="3965" customWidth="1" bestFit="1" width="10.0" style="5"/>
    <col min="3966" max="3966" customWidth="1" bestFit="1" width="10.0" style="5"/>
    <col min="3967" max="3967" customWidth="1" bestFit="1" width="10.0" style="5"/>
    <col min="3968" max="3968" customWidth="1" bestFit="1" width="10.0" style="5"/>
    <col min="3969" max="3969" customWidth="1" bestFit="1" width="10.0" style="5"/>
    <col min="3970" max="3970" customWidth="1" bestFit="1" width="10.0" style="5"/>
    <col min="3971" max="3971" customWidth="1" bestFit="1" width="10.0" style="5"/>
    <col min="3972" max="3972" customWidth="1" bestFit="1" width="10.0" style="5"/>
    <col min="3973" max="3973" customWidth="1" bestFit="1" width="10.0" style="5"/>
    <col min="3974" max="3974" customWidth="1" bestFit="1" width="10.0" style="5"/>
    <col min="3975" max="3975" customWidth="1" bestFit="1" width="10.0" style="5"/>
    <col min="3976" max="3976" customWidth="1" bestFit="1" width="10.0" style="5"/>
    <col min="3977" max="3977" customWidth="1" bestFit="1" width="10.0" style="5"/>
    <col min="3978" max="3978" customWidth="1" bestFit="1" width="10.0" style="5"/>
    <col min="3979" max="3979" customWidth="1" bestFit="1" width="10.0" style="5"/>
    <col min="3980" max="3980" customWidth="1" bestFit="1" width="10.0" style="5"/>
    <col min="3981" max="3981" customWidth="1" bestFit="1" width="10.0" style="5"/>
    <col min="3982" max="3982" customWidth="1" bestFit="1" width="10.0" style="5"/>
    <col min="3983" max="3983" customWidth="1" bestFit="1" width="10.0" style="5"/>
    <col min="3984" max="3984" customWidth="1" bestFit="1" width="10.0" style="5"/>
    <col min="3985" max="3985" customWidth="1" bestFit="1" width="10.0" style="5"/>
    <col min="3986" max="3986" customWidth="1" bestFit="1" width="10.0" style="5"/>
    <col min="3987" max="3987" customWidth="1" bestFit="1" width="10.0" style="5"/>
    <col min="3988" max="3988" customWidth="1" bestFit="1" width="10.0" style="5"/>
    <col min="3989" max="3989" customWidth="1" bestFit="1" width="10.0" style="5"/>
    <col min="3990" max="3990" customWidth="1" bestFit="1" width="10.0" style="5"/>
    <col min="3991" max="3991" customWidth="1" bestFit="1" width="10.0" style="5"/>
    <col min="3992" max="3992" customWidth="1" bestFit="1" width="10.0" style="5"/>
    <col min="3993" max="3993" customWidth="1" bestFit="1" width="10.0" style="5"/>
    <col min="3994" max="3994" customWidth="1" bestFit="1" width="10.0" style="5"/>
    <col min="3995" max="3995" customWidth="1" bestFit="1" width="10.0" style="5"/>
    <col min="3996" max="3996" customWidth="1" bestFit="1" width="10.0" style="5"/>
    <col min="3997" max="3997" customWidth="1" bestFit="1" width="10.0" style="5"/>
    <col min="3998" max="3998" customWidth="1" bestFit="1" width="10.0" style="5"/>
    <col min="3999" max="3999" customWidth="1" bestFit="1" width="10.0" style="5"/>
    <col min="4000" max="4000" customWidth="1" bestFit="1" width="10.0" style="5"/>
    <col min="4001" max="4001" customWidth="1" bestFit="1" width="10.0" style="5"/>
    <col min="4002" max="4002" customWidth="1" bestFit="1" width="10.0" style="5"/>
    <col min="4003" max="4003" customWidth="1" bestFit="1" width="10.0" style="5"/>
    <col min="4004" max="4004" customWidth="1" bestFit="1" width="10.0" style="5"/>
    <col min="4005" max="4005" customWidth="1" bestFit="1" width="10.0" style="5"/>
    <col min="4006" max="4006" customWidth="1" bestFit="1" width="10.0" style="5"/>
    <col min="4007" max="4007" customWidth="1" bestFit="1" width="10.0" style="5"/>
    <col min="4008" max="4008" customWidth="1" bestFit="1" width="10.0" style="5"/>
    <col min="4009" max="4009" customWidth="1" bestFit="1" width="10.0" style="5"/>
    <col min="4010" max="4010" customWidth="1" bestFit="1" width="10.0" style="5"/>
    <col min="4011" max="4011" customWidth="1" bestFit="1" width="10.0" style="5"/>
    <col min="4012" max="4012" customWidth="1" bestFit="1" width="10.0" style="5"/>
    <col min="4013" max="4013" customWidth="1" bestFit="1" width="10.0" style="5"/>
    <col min="4014" max="4014" customWidth="1" bestFit="1" width="10.0" style="5"/>
    <col min="4015" max="4015" customWidth="1" bestFit="1" width="10.0" style="5"/>
    <col min="4016" max="4016" customWidth="1" bestFit="1" width="10.0" style="5"/>
    <col min="4017" max="4017" customWidth="1" bestFit="1" width="10.0" style="5"/>
    <col min="4018" max="4018" customWidth="1" bestFit="1" width="10.0" style="5"/>
    <col min="4019" max="4019" customWidth="1" bestFit="1" width="10.0" style="5"/>
    <col min="4020" max="4020" customWidth="1" bestFit="1" width="10.0" style="5"/>
    <col min="4021" max="4021" customWidth="1" bestFit="1" width="10.0" style="5"/>
    <col min="4022" max="4022" customWidth="1" bestFit="1" width="10.0" style="5"/>
    <col min="4023" max="4023" customWidth="1" bestFit="1" width="10.0" style="5"/>
    <col min="4024" max="4024" customWidth="1" bestFit="1" width="10.0" style="5"/>
    <col min="4025" max="4025" customWidth="1" bestFit="1" width="10.0" style="5"/>
    <col min="4026" max="4026" customWidth="1" bestFit="1" width="10.0" style="5"/>
    <col min="4027" max="4027" customWidth="1" bestFit="1" width="10.0" style="5"/>
    <col min="4028" max="4028" customWidth="1" bestFit="1" width="10.0" style="5"/>
    <col min="4029" max="4029" customWidth="1" bestFit="1" width="10.0" style="5"/>
    <col min="4030" max="4030" customWidth="1" bestFit="1" width="10.0" style="5"/>
    <col min="4031" max="4031" customWidth="1" bestFit="1" width="10.0" style="5"/>
    <col min="4032" max="4032" customWidth="1" bestFit="1" width="10.0" style="5"/>
    <col min="4033" max="4033" customWidth="1" bestFit="1" width="10.0" style="5"/>
    <col min="4034" max="4034" customWidth="1" bestFit="1" width="10.0" style="5"/>
    <col min="4035" max="4035" customWidth="1" bestFit="1" width="10.0" style="5"/>
    <col min="4036" max="4036" customWidth="1" bestFit="1" width="10.0" style="5"/>
    <col min="4037" max="4037" customWidth="1" bestFit="1" width="10.0" style="5"/>
    <col min="4038" max="4038" customWidth="1" bestFit="1" width="10.0" style="5"/>
    <col min="4039" max="4039" customWidth="1" bestFit="1" width="10.0" style="5"/>
    <col min="4040" max="4040" customWidth="1" bestFit="1" width="10.0" style="5"/>
    <col min="4041" max="4041" customWidth="1" bestFit="1" width="10.0" style="5"/>
    <col min="4042" max="4042" customWidth="1" bestFit="1" width="10.0" style="5"/>
    <col min="4043" max="4043" customWidth="1" bestFit="1" width="10.0" style="5"/>
    <col min="4044" max="4044" customWidth="1" bestFit="1" width="10.0" style="5"/>
    <col min="4045" max="4045" customWidth="1" bestFit="1" width="10.0" style="5"/>
    <col min="4046" max="4046" customWidth="1" bestFit="1" width="10.0" style="5"/>
    <col min="4047" max="4047" customWidth="1" bestFit="1" width="10.0" style="5"/>
    <col min="4048" max="4048" customWidth="1" bestFit="1" width="10.0" style="5"/>
    <col min="4049" max="4049" customWidth="1" bestFit="1" width="10.0" style="5"/>
    <col min="4050" max="4050" customWidth="1" bestFit="1" width="10.0" style="5"/>
    <col min="4051" max="4051" customWidth="1" bestFit="1" width="10.0" style="5"/>
    <col min="4052" max="4052" customWidth="1" bestFit="1" width="10.0" style="5"/>
    <col min="4053" max="4053" customWidth="1" bestFit="1" width="10.0" style="5"/>
    <col min="4054" max="4054" customWidth="1" bestFit="1" width="10.0" style="5"/>
    <col min="4055" max="4055" customWidth="1" bestFit="1" width="10.0" style="5"/>
    <col min="4056" max="4056" customWidth="1" bestFit="1" width="10.0" style="5"/>
    <col min="4057" max="4057" customWidth="1" bestFit="1" width="10.0" style="5"/>
    <col min="4058" max="4058" customWidth="1" bestFit="1" width="10.0" style="5"/>
    <col min="4059" max="4059" customWidth="1" bestFit="1" width="10.0" style="5"/>
    <col min="4060" max="4060" customWidth="1" bestFit="1" width="10.0" style="5"/>
    <col min="4061" max="4061" customWidth="1" bestFit="1" width="10.0" style="5"/>
    <col min="4062" max="4062" customWidth="1" bestFit="1" width="10.0" style="5"/>
    <col min="4063" max="4063" customWidth="1" bestFit="1" width="10.0" style="5"/>
    <col min="4064" max="4064" customWidth="1" bestFit="1" width="10.0" style="5"/>
    <col min="4065" max="4065" customWidth="1" bestFit="1" width="10.0" style="5"/>
    <col min="4066" max="4066" customWidth="1" bestFit="1" width="10.0" style="5"/>
    <col min="4067" max="4067" customWidth="1" bestFit="1" width="10.0" style="5"/>
    <col min="4068" max="4068" customWidth="1" bestFit="1" width="10.0" style="5"/>
    <col min="4069" max="4069" customWidth="1" bestFit="1" width="10.0" style="5"/>
    <col min="4070" max="4070" customWidth="1" bestFit="1" width="10.0" style="5"/>
    <col min="4071" max="4071" customWidth="1" bestFit="1" width="10.0" style="5"/>
    <col min="4072" max="4072" customWidth="1" bestFit="1" width="10.0" style="5"/>
    <col min="4073" max="4073" customWidth="1" bestFit="1" width="10.0" style="5"/>
    <col min="4074" max="4074" customWidth="1" bestFit="1" width="10.0" style="5"/>
    <col min="4075" max="4075" customWidth="1" bestFit="1" width="10.0" style="5"/>
    <col min="4076" max="4076" customWidth="1" bestFit="1" width="10.0" style="5"/>
    <col min="4077" max="4077" customWidth="1" bestFit="1" width="10.0" style="5"/>
    <col min="4078" max="4078" customWidth="1" bestFit="1" width="10.0" style="5"/>
    <col min="4079" max="4079" customWidth="1" bestFit="1" width="10.0" style="5"/>
    <col min="4080" max="4080" customWidth="1" bestFit="1" width="10.0" style="5"/>
    <col min="4081" max="4081" customWidth="1" bestFit="1" width="10.0" style="5"/>
    <col min="4082" max="4082" customWidth="1" bestFit="1" width="10.0" style="5"/>
    <col min="4083" max="4083" customWidth="1" bestFit="1" width="10.0" style="5"/>
    <col min="4084" max="4084" customWidth="1" bestFit="1" width="10.0" style="5"/>
    <col min="4085" max="4085" customWidth="1" bestFit="1" width="10.0" style="5"/>
    <col min="4086" max="4086" customWidth="1" bestFit="1" width="10.0" style="5"/>
    <col min="4087" max="4087" customWidth="1" bestFit="1" width="10.0" style="5"/>
    <col min="4088" max="4088" customWidth="1" bestFit="1" width="10.0" style="5"/>
    <col min="4089" max="4089" customWidth="1" bestFit="1" width="10.0" style="5"/>
    <col min="4090" max="4090" customWidth="1" bestFit="1" width="10.0" style="5"/>
    <col min="4091" max="4091" customWidth="1" bestFit="1" width="10.0" style="5"/>
    <col min="4092" max="4092" customWidth="1" bestFit="1" width="10.0" style="5"/>
    <col min="4093" max="4093" customWidth="1" bestFit="1" width="10.0" style="5"/>
    <col min="4094" max="4094" customWidth="1" bestFit="1" width="10.0" style="5"/>
    <col min="4095" max="4095" customWidth="1" bestFit="1" width="10.0" style="5"/>
    <col min="4096" max="4096" customWidth="1" bestFit="1" width="10.0" style="5"/>
    <col min="4097" max="4097" customWidth="1" bestFit="1" width="10.0" style="5"/>
    <col min="4098" max="4098" customWidth="1" bestFit="1" width="10.0" style="5"/>
    <col min="4099" max="4099" customWidth="1" bestFit="1" width="10.0" style="5"/>
    <col min="4100" max="4100" customWidth="1" bestFit="1" width="10.0" style="5"/>
    <col min="4101" max="4101" customWidth="1" bestFit="1" width="10.0" style="5"/>
    <col min="4102" max="4102" customWidth="1" bestFit="1" width="10.0" style="5"/>
    <col min="4103" max="4103" customWidth="1" bestFit="1" width="10.0" style="5"/>
    <col min="4104" max="4104" customWidth="1" bestFit="1" width="10.0" style="5"/>
    <col min="4105" max="4105" customWidth="1" bestFit="1" width="10.0" style="5"/>
    <col min="4106" max="4106" customWidth="1" bestFit="1" width="10.0" style="5"/>
    <col min="4107" max="4107" customWidth="1" bestFit="1" width="10.0" style="5"/>
    <col min="4108" max="4108" customWidth="1" bestFit="1" width="10.0" style="5"/>
    <col min="4109" max="4109" customWidth="1" bestFit="1" width="10.0" style="5"/>
    <col min="4110" max="4110" customWidth="1" bestFit="1" width="10.0" style="5"/>
    <col min="4111" max="4111" customWidth="1" bestFit="1" width="10.0" style="5"/>
    <col min="4112" max="4112" customWidth="1" bestFit="1" width="10.0" style="5"/>
    <col min="4113" max="4113" customWidth="1" bestFit="1" width="10.0" style="5"/>
    <col min="4114" max="4114" customWidth="1" bestFit="1" width="10.0" style="5"/>
    <col min="4115" max="4115" customWidth="1" bestFit="1" width="10.0" style="5"/>
    <col min="4116" max="4116" customWidth="1" bestFit="1" width="10.0" style="5"/>
    <col min="4117" max="4117" customWidth="1" bestFit="1" width="10.0" style="5"/>
    <col min="4118" max="4118" customWidth="1" bestFit="1" width="10.0" style="5"/>
    <col min="4119" max="4119" customWidth="1" bestFit="1" width="10.0" style="5"/>
    <col min="4120" max="4120" customWidth="1" bestFit="1" width="10.0" style="5"/>
    <col min="4121" max="4121" customWidth="1" bestFit="1" width="10.0" style="5"/>
    <col min="4122" max="4122" customWidth="1" bestFit="1" width="10.0" style="5"/>
    <col min="4123" max="4123" customWidth="1" bestFit="1" width="10.0" style="5"/>
    <col min="4124" max="4124" customWidth="1" bestFit="1" width="10.0" style="5"/>
    <col min="4125" max="4125" customWidth="1" bestFit="1" width="10.0" style="5"/>
    <col min="4126" max="4126" customWidth="1" bestFit="1" width="10.0" style="5"/>
    <col min="4127" max="4127" customWidth="1" bestFit="1" width="10.0" style="5"/>
    <col min="4128" max="4128" customWidth="1" bestFit="1" width="10.0" style="5"/>
    <col min="4129" max="4129" customWidth="1" bestFit="1" width="10.0" style="5"/>
    <col min="4130" max="4130" customWidth="1" bestFit="1" width="10.0" style="5"/>
    <col min="4131" max="4131" customWidth="1" bestFit="1" width="10.0" style="5"/>
    <col min="4132" max="4132" customWidth="1" bestFit="1" width="10.0" style="5"/>
    <col min="4133" max="4133" customWidth="1" bestFit="1" width="10.0" style="5"/>
    <col min="4134" max="4134" customWidth="1" bestFit="1" width="10.0" style="5"/>
    <col min="4135" max="4135" customWidth="1" bestFit="1" width="10.0" style="5"/>
    <col min="4136" max="4136" customWidth="1" bestFit="1" width="10.0" style="5"/>
    <col min="4137" max="4137" customWidth="1" bestFit="1" width="10.0" style="5"/>
    <col min="4138" max="4138" customWidth="1" bestFit="1" width="10.0" style="5"/>
    <col min="4139" max="4139" customWidth="1" bestFit="1" width="10.0" style="5"/>
    <col min="4140" max="4140" customWidth="1" bestFit="1" width="10.0" style="5"/>
    <col min="4141" max="4141" customWidth="1" bestFit="1" width="10.0" style="5"/>
    <col min="4142" max="4142" customWidth="1" bestFit="1" width="10.0" style="5"/>
    <col min="4143" max="4143" customWidth="1" bestFit="1" width="10.0" style="5"/>
    <col min="4144" max="4144" customWidth="1" bestFit="1" width="10.0" style="5"/>
    <col min="4145" max="4145" customWidth="1" bestFit="1" width="10.0" style="5"/>
    <col min="4146" max="4146" customWidth="1" bestFit="1" width="10.0" style="5"/>
    <col min="4147" max="4147" customWidth="1" bestFit="1" width="10.0" style="5"/>
    <col min="4148" max="4148" customWidth="1" bestFit="1" width="10.0" style="5"/>
    <col min="4149" max="4149" customWidth="1" bestFit="1" width="10.0" style="5"/>
    <col min="4150" max="4150" customWidth="1" bestFit="1" width="10.0" style="5"/>
    <col min="4151" max="4151" customWidth="1" bestFit="1" width="10.0" style="5"/>
    <col min="4152" max="4152" customWidth="1" bestFit="1" width="10.0" style="5"/>
    <col min="4153" max="4153" customWidth="1" bestFit="1" width="10.0" style="5"/>
    <col min="4154" max="4154" customWidth="1" bestFit="1" width="10.0" style="5"/>
    <col min="4155" max="4155" customWidth="1" bestFit="1" width="10.0" style="5"/>
    <col min="4156" max="4156" customWidth="1" bestFit="1" width="10.0" style="5"/>
    <col min="4157" max="4157" customWidth="1" bestFit="1" width="10.0" style="5"/>
    <col min="4158" max="4158" customWidth="1" bestFit="1" width="10.0" style="5"/>
    <col min="4159" max="4159" customWidth="1" bestFit="1" width="10.0" style="5"/>
    <col min="4160" max="4160" customWidth="1" bestFit="1" width="10.0" style="5"/>
    <col min="4161" max="4161" customWidth="1" bestFit="1" width="10.0" style="5"/>
    <col min="4162" max="4162" customWidth="1" bestFit="1" width="10.0" style="5"/>
    <col min="4163" max="4163" customWidth="1" bestFit="1" width="10.0" style="5"/>
    <col min="4164" max="4164" customWidth="1" bestFit="1" width="10.0" style="5"/>
    <col min="4165" max="4165" customWidth="1" bestFit="1" width="10.0" style="5"/>
    <col min="4166" max="4166" customWidth="1" bestFit="1" width="10.0" style="5"/>
    <col min="4167" max="4167" customWidth="1" bestFit="1" width="10.0" style="5"/>
    <col min="4168" max="4168" customWidth="1" bestFit="1" width="10.0" style="5"/>
    <col min="4169" max="4169" customWidth="1" bestFit="1" width="10.0" style="5"/>
    <col min="4170" max="4170" customWidth="1" bestFit="1" width="10.0" style="5"/>
    <col min="4171" max="4171" customWidth="1" bestFit="1" width="10.0" style="5"/>
    <col min="4172" max="4172" customWidth="1" bestFit="1" width="10.0" style="5"/>
    <col min="4173" max="4173" customWidth="1" bestFit="1" width="10.0" style="5"/>
    <col min="4174" max="4174" customWidth="1" bestFit="1" width="10.0" style="5"/>
    <col min="4175" max="4175" customWidth="1" bestFit="1" width="10.0" style="5"/>
    <col min="4176" max="4176" customWidth="1" bestFit="1" width="10.0" style="5"/>
    <col min="4177" max="4177" customWidth="1" bestFit="1" width="10.0" style="5"/>
    <col min="4178" max="4178" customWidth="1" bestFit="1" width="10.0" style="5"/>
    <col min="4179" max="4179" customWidth="1" bestFit="1" width="10.0" style="5"/>
    <col min="4180" max="4180" customWidth="1" bestFit="1" width="10.0" style="5"/>
    <col min="4181" max="4181" customWidth="1" bestFit="1" width="10.0" style="5"/>
    <col min="4182" max="4182" customWidth="1" bestFit="1" width="10.0" style="5"/>
    <col min="4183" max="4183" customWidth="1" bestFit="1" width="10.0" style="5"/>
    <col min="4184" max="4184" customWidth="1" bestFit="1" width="10.0" style="5"/>
    <col min="4185" max="4185" customWidth="1" bestFit="1" width="10.0" style="5"/>
    <col min="4186" max="4186" customWidth="1" bestFit="1" width="10.0" style="5"/>
    <col min="4187" max="4187" customWidth="1" bestFit="1" width="10.0" style="5"/>
    <col min="4188" max="4188" customWidth="1" bestFit="1" width="10.0" style="5"/>
    <col min="4189" max="4189" customWidth="1" bestFit="1" width="10.0" style="5"/>
    <col min="4190" max="4190" customWidth="1" bestFit="1" width="10.0" style="5"/>
    <col min="4191" max="4191" customWidth="1" bestFit="1" width="10.0" style="5"/>
    <col min="4192" max="4192" customWidth="1" bestFit="1" width="10.0" style="5"/>
    <col min="4193" max="4193" customWidth="1" bestFit="1" width="10.0" style="5"/>
    <col min="4194" max="4194" customWidth="1" bestFit="1" width="10.0" style="5"/>
    <col min="4195" max="4195" customWidth="1" bestFit="1" width="10.0" style="5"/>
    <col min="4196" max="4196" customWidth="1" bestFit="1" width="10.0" style="5"/>
    <col min="4197" max="4197" customWidth="1" bestFit="1" width="10.0" style="5"/>
    <col min="4198" max="4198" customWidth="1" bestFit="1" width="10.0" style="5"/>
    <col min="4199" max="4199" customWidth="1" bestFit="1" width="10.0" style="5"/>
    <col min="4200" max="4200" customWidth="1" bestFit="1" width="10.0" style="5"/>
    <col min="4201" max="4201" customWidth="1" bestFit="1" width="10.0" style="5"/>
    <col min="4202" max="4202" customWidth="1" bestFit="1" width="10.0" style="5"/>
    <col min="4203" max="4203" customWidth="1" bestFit="1" width="10.0" style="5"/>
    <col min="4204" max="4204" customWidth="1" bestFit="1" width="10.0" style="5"/>
    <col min="4205" max="4205" customWidth="1" bestFit="1" width="10.0" style="5"/>
    <col min="4206" max="4206" customWidth="1" bestFit="1" width="10.0" style="5"/>
    <col min="4207" max="4207" customWidth="1" bestFit="1" width="10.0" style="5"/>
    <col min="4208" max="4208" customWidth="1" bestFit="1" width="10.0" style="5"/>
    <col min="4209" max="4209" customWidth="1" bestFit="1" width="10.0" style="5"/>
    <col min="4210" max="4210" customWidth="1" bestFit="1" width="10.0" style="5"/>
    <col min="4211" max="4211" customWidth="1" bestFit="1" width="10.0" style="5"/>
    <col min="4212" max="4212" customWidth="1" bestFit="1" width="10.0" style="5"/>
    <col min="4213" max="4213" customWidth="1" bestFit="1" width="10.0" style="5"/>
    <col min="4214" max="4214" customWidth="1" bestFit="1" width="10.0" style="5"/>
    <col min="4215" max="4215" customWidth="1" bestFit="1" width="10.0" style="5"/>
    <col min="4216" max="4216" customWidth="1" bestFit="1" width="10.0" style="5"/>
    <col min="4217" max="4217" customWidth="1" bestFit="1" width="10.0" style="5"/>
    <col min="4218" max="4218" customWidth="1" bestFit="1" width="10.0" style="5"/>
    <col min="4219" max="4219" customWidth="1" bestFit="1" width="10.0" style="5"/>
    <col min="4220" max="4220" customWidth="1" bestFit="1" width="10.0" style="5"/>
    <col min="4221" max="4221" customWidth="1" bestFit="1" width="10.0" style="5"/>
    <col min="4222" max="4222" customWidth="1" bestFit="1" width="10.0" style="5"/>
    <col min="4223" max="4223" customWidth="1" bestFit="1" width="10.0" style="5"/>
    <col min="4224" max="4224" customWidth="1" bestFit="1" width="10.0" style="5"/>
    <col min="4225" max="4225" customWidth="1" bestFit="1" width="10.0" style="5"/>
    <col min="4226" max="4226" customWidth="1" bestFit="1" width="10.0" style="5"/>
    <col min="4227" max="4227" customWidth="1" bestFit="1" width="10.0" style="5"/>
    <col min="4228" max="4228" customWidth="1" bestFit="1" width="10.0" style="5"/>
    <col min="4229" max="4229" customWidth="1" bestFit="1" width="10.0" style="5"/>
    <col min="4230" max="4230" customWidth="1" bestFit="1" width="10.0" style="5"/>
    <col min="4231" max="4231" customWidth="1" bestFit="1" width="10.0" style="5"/>
    <col min="4232" max="4232" customWidth="1" bestFit="1" width="10.0" style="5"/>
    <col min="4233" max="4233" customWidth="1" bestFit="1" width="10.0" style="5"/>
    <col min="4234" max="4234" customWidth="1" bestFit="1" width="10.0" style="5"/>
    <col min="4235" max="4235" customWidth="1" bestFit="1" width="10.0" style="5"/>
    <col min="4236" max="4236" customWidth="1" bestFit="1" width="10.0" style="5"/>
    <col min="4237" max="4237" customWidth="1" bestFit="1" width="10.0" style="5"/>
    <col min="4238" max="4238" customWidth="1" bestFit="1" width="10.0" style="5"/>
    <col min="4239" max="4239" customWidth="1" bestFit="1" width="10.0" style="5"/>
    <col min="4240" max="4240" customWidth="1" bestFit="1" width="10.0" style="5"/>
    <col min="4241" max="4241" customWidth="1" bestFit="1" width="10.0" style="5"/>
    <col min="4242" max="4242" customWidth="1" bestFit="1" width="10.0" style="5"/>
    <col min="4243" max="4243" customWidth="1" bestFit="1" width="10.0" style="5"/>
    <col min="4244" max="4244" customWidth="1" bestFit="1" width="10.0" style="5"/>
    <col min="4245" max="4245" customWidth="1" bestFit="1" width="10.0" style="5"/>
    <col min="4246" max="4246" customWidth="1" bestFit="1" width="10.0" style="5"/>
    <col min="4247" max="4247" customWidth="1" bestFit="1" width="10.0" style="5"/>
    <col min="4248" max="4248" customWidth="1" bestFit="1" width="10.0" style="5"/>
    <col min="4249" max="4249" customWidth="1" bestFit="1" width="10.0" style="5"/>
    <col min="4250" max="4250" customWidth="1" bestFit="1" width="10.0" style="5"/>
    <col min="4251" max="4251" customWidth="1" bestFit="1" width="10.0" style="5"/>
    <col min="4252" max="4252" customWidth="1" bestFit="1" width="10.0" style="5"/>
    <col min="4253" max="4253" customWidth="1" bestFit="1" width="10.0" style="5"/>
    <col min="4254" max="4254" customWidth="1" bestFit="1" width="10.0" style="5"/>
    <col min="4255" max="4255" customWidth="1" bestFit="1" width="10.0" style="5"/>
    <col min="4256" max="4256" customWidth="1" bestFit="1" width="10.0" style="5"/>
    <col min="4257" max="4257" customWidth="1" bestFit="1" width="10.0" style="5"/>
    <col min="4258" max="4258" customWidth="1" bestFit="1" width="10.0" style="5"/>
    <col min="4259" max="4259" customWidth="1" bestFit="1" width="10.0" style="5"/>
    <col min="4260" max="4260" customWidth="1" bestFit="1" width="10.0" style="5"/>
    <col min="4261" max="4261" customWidth="1" bestFit="1" width="10.0" style="5"/>
    <col min="4262" max="4262" customWidth="1" bestFit="1" width="10.0" style="5"/>
    <col min="4263" max="4263" customWidth="1" bestFit="1" width="10.0" style="5"/>
    <col min="4264" max="4264" customWidth="1" bestFit="1" width="10.0" style="5"/>
    <col min="4265" max="4265" customWidth="1" bestFit="1" width="10.0" style="5"/>
    <col min="4266" max="4266" customWidth="1" bestFit="1" width="10.0" style="5"/>
    <col min="4267" max="4267" customWidth="1" bestFit="1" width="10.0" style="5"/>
    <col min="4268" max="4268" customWidth="1" bestFit="1" width="10.0" style="5"/>
    <col min="4269" max="4269" customWidth="1" bestFit="1" width="10.0" style="5"/>
    <col min="4270" max="4270" customWidth="1" bestFit="1" width="10.0" style="5"/>
    <col min="4271" max="4271" customWidth="1" bestFit="1" width="10.0" style="5"/>
    <col min="4272" max="4272" customWidth="1" bestFit="1" width="10.0" style="5"/>
    <col min="4273" max="4273" customWidth="1" bestFit="1" width="10.0" style="5"/>
    <col min="4274" max="4274" customWidth="1" bestFit="1" width="10.0" style="5"/>
    <col min="4275" max="4275" customWidth="1" bestFit="1" width="10.0" style="5"/>
    <col min="4276" max="4276" customWidth="1" bestFit="1" width="10.0" style="5"/>
    <col min="4277" max="4277" customWidth="1" bestFit="1" width="10.0" style="5"/>
    <col min="4278" max="4278" customWidth="1" bestFit="1" width="10.0" style="5"/>
    <col min="4279" max="4279" customWidth="1" bestFit="1" width="10.0" style="5"/>
    <col min="4280" max="4280" customWidth="1" bestFit="1" width="10.0" style="5"/>
    <col min="4281" max="4281" customWidth="1" bestFit="1" width="10.0" style="5"/>
    <col min="4282" max="4282" customWidth="1" bestFit="1" width="10.0" style="5"/>
    <col min="4283" max="4283" customWidth="1" bestFit="1" width="10.0" style="5"/>
    <col min="4284" max="4284" customWidth="1" bestFit="1" width="10.0" style="5"/>
    <col min="4285" max="4285" customWidth="1" bestFit="1" width="10.0" style="5"/>
    <col min="4286" max="4286" customWidth="1" bestFit="1" width="10.0" style="5"/>
    <col min="4287" max="4287" customWidth="1" bestFit="1" width="10.0" style="5"/>
    <col min="4288" max="4288" customWidth="1" bestFit="1" width="10.0" style="5"/>
    <col min="4289" max="4289" customWidth="1" bestFit="1" width="10.0" style="5"/>
    <col min="4290" max="4290" customWidth="1" bestFit="1" width="10.0" style="5"/>
    <col min="4291" max="4291" customWidth="1" bestFit="1" width="10.0" style="5"/>
    <col min="4292" max="4292" customWidth="1" bestFit="1" width="10.0" style="5"/>
    <col min="4293" max="4293" customWidth="1" bestFit="1" width="10.0" style="5"/>
    <col min="4294" max="4294" customWidth="1" bestFit="1" width="10.0" style="5"/>
    <col min="4295" max="4295" customWidth="1" bestFit="1" width="10.0" style="5"/>
    <col min="4296" max="4296" customWidth="1" bestFit="1" width="10.0" style="5"/>
    <col min="4297" max="4297" customWidth="1" bestFit="1" width="10.0" style="5"/>
    <col min="4298" max="4298" customWidth="1" bestFit="1" width="10.0" style="5"/>
    <col min="4299" max="4299" customWidth="1" bestFit="1" width="10.0" style="5"/>
    <col min="4300" max="4300" customWidth="1" bestFit="1" width="10.0" style="5"/>
    <col min="4301" max="4301" customWidth="1" bestFit="1" width="10.0" style="5"/>
    <col min="4302" max="4302" customWidth="1" bestFit="1" width="10.0" style="5"/>
    <col min="4303" max="4303" customWidth="1" bestFit="1" width="10.0" style="5"/>
    <col min="4304" max="4304" customWidth="1" bestFit="1" width="10.0" style="5"/>
    <col min="4305" max="4305" customWidth="1" bestFit="1" width="10.0" style="5"/>
    <col min="4306" max="4306" customWidth="1" bestFit="1" width="10.0" style="5"/>
    <col min="4307" max="4307" customWidth="1" bestFit="1" width="10.0" style="5"/>
    <col min="4308" max="4308" customWidth="1" bestFit="1" width="10.0" style="5"/>
    <col min="4309" max="4309" customWidth="1" bestFit="1" width="10.0" style="5"/>
    <col min="4310" max="4310" customWidth="1" bestFit="1" width="10.0" style="5"/>
    <col min="4311" max="4311" customWidth="1" bestFit="1" width="10.0" style="5"/>
    <col min="4312" max="4312" customWidth="1" bestFit="1" width="10.0" style="5"/>
    <col min="4313" max="4313" customWidth="1" bestFit="1" width="10.0" style="5"/>
    <col min="4314" max="4314" customWidth="1" bestFit="1" width="10.0" style="5"/>
    <col min="4315" max="4315" customWidth="1" bestFit="1" width="10.0" style="5"/>
    <col min="4316" max="4316" customWidth="1" bestFit="1" width="10.0" style="5"/>
    <col min="4317" max="4317" customWidth="1" bestFit="1" width="10.0" style="5"/>
    <col min="4318" max="4318" customWidth="1" bestFit="1" width="10.0" style="5"/>
    <col min="4319" max="4319" customWidth="1" bestFit="1" width="10.0" style="5"/>
    <col min="4320" max="4320" customWidth="1" bestFit="1" width="10.0" style="5"/>
    <col min="4321" max="4321" customWidth="1" bestFit="1" width="10.0" style="5"/>
    <col min="4322" max="4322" customWidth="1" bestFit="1" width="10.0" style="5"/>
    <col min="4323" max="4323" customWidth="1" bestFit="1" width="10.0" style="5"/>
    <col min="4324" max="4324" customWidth="1" bestFit="1" width="10.0" style="5"/>
    <col min="4325" max="4325" customWidth="1" bestFit="1" width="10.0" style="5"/>
    <col min="4326" max="4326" customWidth="1" bestFit="1" width="10.0" style="5"/>
    <col min="4327" max="4327" customWidth="1" bestFit="1" width="10.0" style="5"/>
    <col min="4328" max="4328" customWidth="1" bestFit="1" width="10.0" style="5"/>
    <col min="4329" max="4329" customWidth="1" bestFit="1" width="10.0" style="5"/>
    <col min="4330" max="4330" customWidth="1" bestFit="1" width="10.0" style="5"/>
    <col min="4331" max="4331" customWidth="1" bestFit="1" width="10.0" style="5"/>
    <col min="4332" max="4332" customWidth="1" bestFit="1" width="10.0" style="5"/>
    <col min="4333" max="4333" customWidth="1" bestFit="1" width="10.0" style="5"/>
    <col min="4334" max="4334" customWidth="1" bestFit="1" width="10.0" style="5"/>
    <col min="4335" max="4335" customWidth="1" bestFit="1" width="10.0" style="5"/>
    <col min="4336" max="4336" customWidth="1" bestFit="1" width="10.0" style="5"/>
    <col min="4337" max="4337" customWidth="1" bestFit="1" width="10.0" style="5"/>
    <col min="4338" max="4338" customWidth="1" bestFit="1" width="10.0" style="5"/>
    <col min="4339" max="4339" customWidth="1" bestFit="1" width="10.0" style="5"/>
    <col min="4340" max="4340" customWidth="1" bestFit="1" width="10.0" style="5"/>
    <col min="4341" max="4341" customWidth="1" bestFit="1" width="10.0" style="5"/>
    <col min="4342" max="4342" customWidth="1" bestFit="1" width="10.0" style="5"/>
    <col min="4343" max="4343" customWidth="1" bestFit="1" width="10.0" style="5"/>
    <col min="4344" max="4344" customWidth="1" bestFit="1" width="10.0" style="5"/>
    <col min="4345" max="4345" customWidth="1" bestFit="1" width="10.0" style="5"/>
    <col min="4346" max="4346" customWidth="1" bestFit="1" width="10.0" style="5"/>
    <col min="4347" max="4347" customWidth="1" bestFit="1" width="10.0" style="5"/>
    <col min="4348" max="4348" customWidth="1" bestFit="1" width="10.0" style="5"/>
    <col min="4349" max="4349" customWidth="1" bestFit="1" width="10.0" style="5"/>
    <col min="4350" max="4350" customWidth="1" bestFit="1" width="10.0" style="5"/>
    <col min="4351" max="4351" customWidth="1" bestFit="1" width="10.0" style="5"/>
    <col min="4352" max="4352" customWidth="1" bestFit="1" width="10.0" style="5"/>
    <col min="4353" max="4353" customWidth="1" bestFit="1" width="10.0" style="5"/>
    <col min="4354" max="4354" customWidth="1" bestFit="1" width="10.0" style="5"/>
    <col min="4355" max="4355" customWidth="1" bestFit="1" width="10.0" style="5"/>
    <col min="4356" max="4356" customWidth="1" bestFit="1" width="10.0" style="5"/>
    <col min="4357" max="4357" customWidth="1" bestFit="1" width="10.0" style="5"/>
    <col min="4358" max="4358" customWidth="1" bestFit="1" width="10.0" style="5"/>
    <col min="4359" max="4359" customWidth="1" bestFit="1" width="10.0" style="5"/>
    <col min="4360" max="4360" customWidth="1" bestFit="1" width="10.0" style="5"/>
    <col min="4361" max="4361" customWidth="1" bestFit="1" width="10.0" style="5"/>
    <col min="4362" max="4362" customWidth="1" bestFit="1" width="10.0" style="5"/>
    <col min="4363" max="4363" customWidth="1" bestFit="1" width="10.0" style="5"/>
    <col min="4364" max="4364" customWidth="1" bestFit="1" width="10.0" style="5"/>
    <col min="4365" max="4365" customWidth="1" bestFit="1" width="10.0" style="5"/>
    <col min="4366" max="4366" customWidth="1" bestFit="1" width="10.0" style="5"/>
    <col min="4367" max="4367" customWidth="1" bestFit="1" width="10.0" style="5"/>
    <col min="4368" max="4368" customWidth="1" bestFit="1" width="10.0" style="5"/>
    <col min="4369" max="4369" customWidth="1" bestFit="1" width="10.0" style="5"/>
    <col min="4370" max="4370" customWidth="1" bestFit="1" width="10.0" style="5"/>
    <col min="4371" max="4371" customWidth="1" bestFit="1" width="10.0" style="5"/>
    <col min="4372" max="4372" customWidth="1" bestFit="1" width="10.0" style="5"/>
    <col min="4373" max="4373" customWidth="1" bestFit="1" width="10.0" style="5"/>
    <col min="4374" max="4374" customWidth="1" bestFit="1" width="10.0" style="5"/>
    <col min="4375" max="4375" customWidth="1" bestFit="1" width="10.0" style="5"/>
    <col min="4376" max="4376" customWidth="1" bestFit="1" width="10.0" style="5"/>
    <col min="4377" max="4377" customWidth="1" bestFit="1" width="10.0" style="5"/>
    <col min="4378" max="4378" customWidth="1" bestFit="1" width="10.0" style="5"/>
    <col min="4379" max="4379" customWidth="1" bestFit="1" width="10.0" style="5"/>
    <col min="4380" max="4380" customWidth="1" bestFit="1" width="10.0" style="5"/>
    <col min="4381" max="4381" customWidth="1" bestFit="1" width="10.0" style="5"/>
    <col min="4382" max="4382" customWidth="1" bestFit="1" width="10.0" style="5"/>
    <col min="4383" max="4383" customWidth="1" bestFit="1" width="10.0" style="5"/>
    <col min="4384" max="4384" customWidth="1" bestFit="1" width="10.0" style="5"/>
    <col min="4385" max="4385" customWidth="1" bestFit="1" width="10.0" style="5"/>
    <col min="4386" max="4386" customWidth="1" bestFit="1" width="10.0" style="5"/>
    <col min="4387" max="4387" customWidth="1" bestFit="1" width="10.0" style="5"/>
    <col min="4388" max="4388" customWidth="1" bestFit="1" width="10.0" style="5"/>
    <col min="4389" max="4389" customWidth="1" bestFit="1" width="10.0" style="5"/>
    <col min="4390" max="4390" customWidth="1" bestFit="1" width="10.0" style="5"/>
    <col min="4391" max="4391" customWidth="1" bestFit="1" width="10.0" style="5"/>
    <col min="4392" max="4392" customWidth="1" bestFit="1" width="10.0" style="5"/>
    <col min="4393" max="4393" customWidth="1" bestFit="1" width="10.0" style="5"/>
    <col min="4394" max="4394" customWidth="1" bestFit="1" width="10.0" style="5"/>
    <col min="4395" max="4395" customWidth="1" bestFit="1" width="10.0" style="5"/>
    <col min="4396" max="4396" customWidth="1" bestFit="1" width="10.0" style="5"/>
    <col min="4397" max="4397" customWidth="1" bestFit="1" width="10.0" style="5"/>
    <col min="4398" max="4398" customWidth="1" bestFit="1" width="10.0" style="5"/>
    <col min="4399" max="4399" customWidth="1" bestFit="1" width="10.0" style="5"/>
    <col min="4400" max="4400" customWidth="1" bestFit="1" width="10.0" style="5"/>
    <col min="4401" max="4401" customWidth="1" bestFit="1" width="10.0" style="5"/>
    <col min="4402" max="4402" customWidth="1" bestFit="1" width="10.0" style="5"/>
    <col min="4403" max="4403" customWidth="1" bestFit="1" width="10.0" style="5"/>
    <col min="4404" max="4404" customWidth="1" bestFit="1" width="10.0" style="5"/>
    <col min="4405" max="4405" customWidth="1" bestFit="1" width="10.0" style="5"/>
    <col min="4406" max="4406" customWidth="1" bestFit="1" width="10.0" style="5"/>
    <col min="4407" max="4407" customWidth="1" bestFit="1" width="10.0" style="5"/>
    <col min="4408" max="4408" customWidth="1" bestFit="1" width="10.0" style="5"/>
    <col min="4409" max="4409" customWidth="1" bestFit="1" width="10.0" style="5"/>
    <col min="4410" max="4410" customWidth="1" bestFit="1" width="10.0" style="5"/>
    <col min="4411" max="4411" customWidth="1" bestFit="1" width="10.0" style="5"/>
    <col min="4412" max="4412" customWidth="1" bestFit="1" width="10.0" style="5"/>
    <col min="4413" max="4413" customWidth="1" bestFit="1" width="10.0" style="5"/>
    <col min="4414" max="4414" customWidth="1" bestFit="1" width="10.0" style="5"/>
    <col min="4415" max="4415" customWidth="1" bestFit="1" width="10.0" style="5"/>
    <col min="4416" max="4416" customWidth="1" bestFit="1" width="10.0" style="5"/>
    <col min="4417" max="4417" customWidth="1" bestFit="1" width="10.0" style="5"/>
    <col min="4418" max="4418" customWidth="1" bestFit="1" width="10.0" style="5"/>
    <col min="4419" max="4419" customWidth="1" bestFit="1" width="10.0" style="5"/>
    <col min="4420" max="4420" customWidth="1" bestFit="1" width="10.0" style="5"/>
    <col min="4421" max="4421" customWidth="1" bestFit="1" width="10.0" style="5"/>
    <col min="4422" max="4422" customWidth="1" bestFit="1" width="10.0" style="5"/>
    <col min="4423" max="4423" customWidth="1" bestFit="1" width="10.0" style="5"/>
    <col min="4424" max="4424" customWidth="1" bestFit="1" width="10.0" style="5"/>
    <col min="4425" max="4425" customWidth="1" bestFit="1" width="10.0" style="5"/>
    <col min="4426" max="4426" customWidth="1" bestFit="1" width="10.0" style="5"/>
    <col min="4427" max="4427" customWidth="1" bestFit="1" width="10.0" style="5"/>
    <col min="4428" max="4428" customWidth="1" bestFit="1" width="10.0" style="5"/>
    <col min="4429" max="4429" customWidth="1" bestFit="1" width="10.0" style="5"/>
    <col min="4430" max="4430" customWidth="1" bestFit="1" width="10.0" style="5"/>
    <col min="4431" max="4431" customWidth="1" bestFit="1" width="10.0" style="5"/>
    <col min="4432" max="4432" customWidth="1" bestFit="1" width="10.0" style="5"/>
    <col min="4433" max="4433" customWidth="1" bestFit="1" width="10.0" style="5"/>
    <col min="4434" max="4434" customWidth="1" bestFit="1" width="10.0" style="5"/>
    <col min="4435" max="4435" customWidth="1" bestFit="1" width="10.0" style="5"/>
    <col min="4436" max="4436" customWidth="1" bestFit="1" width="10.0" style="5"/>
    <col min="4437" max="4437" customWidth="1" bestFit="1" width="10.0" style="5"/>
    <col min="4438" max="4438" customWidth="1" bestFit="1" width="10.0" style="5"/>
    <col min="4439" max="4439" customWidth="1" bestFit="1" width="10.0" style="5"/>
    <col min="4440" max="4440" customWidth="1" bestFit="1" width="10.0" style="5"/>
    <col min="4441" max="4441" customWidth="1" bestFit="1" width="10.0" style="5"/>
    <col min="4442" max="4442" customWidth="1" bestFit="1" width="10.0" style="5"/>
    <col min="4443" max="4443" customWidth="1" bestFit="1" width="10.0" style="5"/>
    <col min="4444" max="4444" customWidth="1" bestFit="1" width="10.0" style="5"/>
    <col min="4445" max="4445" customWidth="1" bestFit="1" width="10.0" style="5"/>
    <col min="4446" max="4446" customWidth="1" bestFit="1" width="10.0" style="5"/>
    <col min="4447" max="4447" customWidth="1" bestFit="1" width="10.0" style="5"/>
    <col min="4448" max="4448" customWidth="1" bestFit="1" width="10.0" style="5"/>
    <col min="4449" max="4449" customWidth="1" bestFit="1" width="10.0" style="5"/>
    <col min="4450" max="4450" customWidth="1" bestFit="1" width="10.0" style="5"/>
    <col min="4451" max="4451" customWidth="1" bestFit="1" width="10.0" style="5"/>
    <col min="4452" max="4452" customWidth="1" bestFit="1" width="10.0" style="5"/>
    <col min="4453" max="4453" customWidth="1" bestFit="1" width="10.0" style="5"/>
    <col min="4454" max="4454" customWidth="1" bestFit="1" width="10.0" style="5"/>
    <col min="4455" max="4455" customWidth="1" bestFit="1" width="10.0" style="5"/>
    <col min="4456" max="4456" customWidth="1" bestFit="1" width="10.0" style="5"/>
    <col min="4457" max="4457" customWidth="1" bestFit="1" width="10.0" style="5"/>
    <col min="4458" max="4458" customWidth="1" bestFit="1" width="10.0" style="5"/>
    <col min="4459" max="4459" customWidth="1" bestFit="1" width="10.0" style="5"/>
    <col min="4460" max="4460" customWidth="1" bestFit="1" width="10.0" style="5"/>
    <col min="4461" max="4461" customWidth="1" bestFit="1" width="10.0" style="5"/>
    <col min="4462" max="4462" customWidth="1" bestFit="1" width="10.0" style="5"/>
    <col min="4463" max="4463" customWidth="1" bestFit="1" width="10.0" style="5"/>
    <col min="4464" max="4464" customWidth="1" bestFit="1" width="10.0" style="5"/>
    <col min="4465" max="4465" customWidth="1" bestFit="1" width="10.0" style="5"/>
    <col min="4466" max="4466" customWidth="1" bestFit="1" width="10.0" style="5"/>
    <col min="4467" max="4467" customWidth="1" bestFit="1" width="10.0" style="5"/>
    <col min="4468" max="4468" customWidth="1" bestFit="1" width="10.0" style="5"/>
    <col min="4469" max="4469" customWidth="1" bestFit="1" width="10.0" style="5"/>
    <col min="4470" max="4470" customWidth="1" bestFit="1" width="10.0" style="5"/>
    <col min="4471" max="4471" customWidth="1" bestFit="1" width="10.0" style="5"/>
    <col min="4472" max="4472" customWidth="1" bestFit="1" width="10.0" style="5"/>
    <col min="4473" max="4473" customWidth="1" bestFit="1" width="10.0" style="5"/>
    <col min="4474" max="4474" customWidth="1" bestFit="1" width="10.0" style="5"/>
    <col min="4475" max="4475" customWidth="1" bestFit="1" width="10.0" style="5"/>
    <col min="4476" max="4476" customWidth="1" bestFit="1" width="10.0" style="5"/>
    <col min="4477" max="4477" customWidth="1" bestFit="1" width="10.0" style="5"/>
    <col min="4478" max="4478" customWidth="1" bestFit="1" width="10.0" style="5"/>
    <col min="4479" max="4479" customWidth="1" bestFit="1" width="10.0" style="5"/>
    <col min="4480" max="4480" customWidth="1" bestFit="1" width="10.0" style="5"/>
    <col min="4481" max="4481" customWidth="1" bestFit="1" width="10.0" style="5"/>
    <col min="4482" max="4482" customWidth="1" bestFit="1" width="10.0" style="5"/>
    <col min="4483" max="4483" customWidth="1" bestFit="1" width="10.0" style="5"/>
    <col min="4484" max="4484" customWidth="1" bestFit="1" width="10.0" style="5"/>
    <col min="4485" max="4485" customWidth="1" bestFit="1" width="10.0" style="5"/>
    <col min="4486" max="4486" customWidth="1" bestFit="1" width="10.0" style="5"/>
    <col min="4487" max="4487" customWidth="1" bestFit="1" width="10.0" style="5"/>
    <col min="4488" max="4488" customWidth="1" bestFit="1" width="10.0" style="5"/>
    <col min="4489" max="4489" customWidth="1" bestFit="1" width="10.0" style="5"/>
    <col min="4490" max="4490" customWidth="1" bestFit="1" width="10.0" style="5"/>
    <col min="4491" max="4491" customWidth="1" bestFit="1" width="10.0" style="5"/>
    <col min="4492" max="4492" customWidth="1" bestFit="1" width="10.0" style="5"/>
    <col min="4493" max="4493" customWidth="1" bestFit="1" width="10.0" style="5"/>
    <col min="4494" max="4494" customWidth="1" bestFit="1" width="10.0" style="5"/>
    <col min="4495" max="4495" customWidth="1" bestFit="1" width="10.0" style="5"/>
    <col min="4496" max="4496" customWidth="1" bestFit="1" width="10.0" style="5"/>
    <col min="4497" max="4497" customWidth="1" bestFit="1" width="10.0" style="5"/>
    <col min="4498" max="4498" customWidth="1" bestFit="1" width="10.0" style="5"/>
    <col min="4499" max="4499" customWidth="1" bestFit="1" width="10.0" style="5"/>
    <col min="4500" max="4500" customWidth="1" bestFit="1" width="10.0" style="5"/>
    <col min="4501" max="4501" customWidth="1" bestFit="1" width="10.0" style="5"/>
    <col min="4502" max="4502" customWidth="1" bestFit="1" width="10.0" style="5"/>
    <col min="4503" max="4503" customWidth="1" bestFit="1" width="10.0" style="5"/>
    <col min="4504" max="4504" customWidth="1" bestFit="1" width="10.0" style="5"/>
    <col min="4505" max="4505" customWidth="1" bestFit="1" width="10.0" style="5"/>
    <col min="4506" max="4506" customWidth="1" bestFit="1" width="10.0" style="5"/>
    <col min="4507" max="4507" customWidth="1" bestFit="1" width="10.0" style="5"/>
    <col min="4508" max="4508" customWidth="1" bestFit="1" width="10.0" style="5"/>
    <col min="4509" max="4509" customWidth="1" bestFit="1" width="10.0" style="5"/>
    <col min="4510" max="4510" customWidth="1" bestFit="1" width="10.0" style="5"/>
    <col min="4511" max="4511" customWidth="1" bestFit="1" width="10.0" style="5"/>
    <col min="4512" max="4512" customWidth="1" bestFit="1" width="10.0" style="5"/>
    <col min="4513" max="4513" customWidth="1" bestFit="1" width="10.0" style="5"/>
    <col min="4514" max="4514" customWidth="1" bestFit="1" width="10.0" style="5"/>
    <col min="4515" max="4515" customWidth="1" bestFit="1" width="10.0" style="5"/>
    <col min="4516" max="4516" customWidth="1" bestFit="1" width="10.0" style="5"/>
    <col min="4517" max="4517" customWidth="1" bestFit="1" width="10.0" style="5"/>
    <col min="4518" max="4518" customWidth="1" bestFit="1" width="10.0" style="5"/>
    <col min="4519" max="4519" customWidth="1" bestFit="1" width="10.0" style="5"/>
    <col min="4520" max="4520" customWidth="1" bestFit="1" width="10.0" style="5"/>
    <col min="4521" max="4521" customWidth="1" bestFit="1" width="10.0" style="5"/>
    <col min="4522" max="4522" customWidth="1" bestFit="1" width="10.0" style="5"/>
    <col min="4523" max="4523" customWidth="1" bestFit="1" width="10.0" style="5"/>
    <col min="4524" max="4524" customWidth="1" bestFit="1" width="10.0" style="5"/>
    <col min="4525" max="4525" customWidth="1" bestFit="1" width="10.0" style="5"/>
    <col min="4526" max="4526" customWidth="1" bestFit="1" width="10.0" style="5"/>
    <col min="4527" max="4527" customWidth="1" bestFit="1" width="10.0" style="5"/>
    <col min="4528" max="4528" customWidth="1" bestFit="1" width="10.0" style="5"/>
    <col min="4529" max="4529" customWidth="1" bestFit="1" width="10.0" style="5"/>
    <col min="4530" max="4530" customWidth="1" bestFit="1" width="10.0" style="5"/>
    <col min="4531" max="4531" customWidth="1" bestFit="1" width="10.0" style="5"/>
    <col min="4532" max="4532" customWidth="1" bestFit="1" width="10.0" style="5"/>
    <col min="4533" max="4533" customWidth="1" bestFit="1" width="10.0" style="5"/>
    <col min="4534" max="4534" customWidth="1" bestFit="1" width="10.0" style="5"/>
    <col min="4535" max="4535" customWidth="1" bestFit="1" width="10.0" style="5"/>
    <col min="4536" max="4536" customWidth="1" bestFit="1" width="10.0" style="5"/>
    <col min="4537" max="4537" customWidth="1" bestFit="1" width="10.0" style="5"/>
    <col min="4538" max="4538" customWidth="1" bestFit="1" width="10.0" style="5"/>
    <col min="4539" max="4539" customWidth="1" bestFit="1" width="10.0" style="5"/>
    <col min="4540" max="4540" customWidth="1" bestFit="1" width="10.0" style="5"/>
    <col min="4541" max="4541" customWidth="1" bestFit="1" width="10.0" style="5"/>
    <col min="4542" max="4542" customWidth="1" bestFit="1" width="10.0" style="5"/>
    <col min="4543" max="4543" customWidth="1" bestFit="1" width="10.0" style="5"/>
    <col min="4544" max="4544" customWidth="1" bestFit="1" width="10.0" style="5"/>
    <col min="4545" max="4545" customWidth="1" bestFit="1" width="10.0" style="5"/>
    <col min="4546" max="4546" customWidth="1" bestFit="1" width="10.0" style="5"/>
    <col min="4547" max="4547" customWidth="1" bestFit="1" width="10.0" style="5"/>
    <col min="4548" max="4548" customWidth="1" bestFit="1" width="10.0" style="5"/>
    <col min="4549" max="4549" customWidth="1" bestFit="1" width="10.0" style="5"/>
    <col min="4550" max="4550" customWidth="1" bestFit="1" width="10.0" style="5"/>
    <col min="4551" max="4551" customWidth="1" bestFit="1" width="10.0" style="5"/>
    <col min="4552" max="4552" customWidth="1" bestFit="1" width="10.0" style="5"/>
    <col min="4553" max="4553" customWidth="1" bestFit="1" width="10.0" style="5"/>
    <col min="4554" max="4554" customWidth="1" bestFit="1" width="10.0" style="5"/>
    <col min="4555" max="4555" customWidth="1" bestFit="1" width="10.0" style="5"/>
    <col min="4556" max="4556" customWidth="1" bestFit="1" width="10.0" style="5"/>
    <col min="4557" max="4557" customWidth="1" bestFit="1" width="10.0" style="5"/>
    <col min="4558" max="4558" customWidth="1" bestFit="1" width="10.0" style="5"/>
    <col min="4559" max="4559" customWidth="1" bestFit="1" width="10.0" style="5"/>
    <col min="4560" max="4560" customWidth="1" bestFit="1" width="10.0" style="5"/>
    <col min="4561" max="4561" customWidth="1" bestFit="1" width="10.0" style="5"/>
    <col min="4562" max="4562" customWidth="1" bestFit="1" width="10.0" style="5"/>
    <col min="4563" max="4563" customWidth="1" bestFit="1" width="10.0" style="5"/>
    <col min="4564" max="4564" customWidth="1" bestFit="1" width="10.0" style="5"/>
    <col min="4565" max="4565" customWidth="1" bestFit="1" width="10.0" style="5"/>
    <col min="4566" max="4566" customWidth="1" bestFit="1" width="10.0" style="5"/>
    <col min="4567" max="4567" customWidth="1" bestFit="1" width="10.0" style="5"/>
    <col min="4568" max="4568" customWidth="1" bestFit="1" width="10.0" style="5"/>
    <col min="4569" max="4569" customWidth="1" bestFit="1" width="10.0" style="5"/>
    <col min="4570" max="4570" customWidth="1" bestFit="1" width="10.0" style="5"/>
    <col min="4571" max="4571" customWidth="1" bestFit="1" width="10.0" style="5"/>
    <col min="4572" max="4572" customWidth="1" bestFit="1" width="10.0" style="5"/>
    <col min="4573" max="4573" customWidth="1" bestFit="1" width="10.0" style="5"/>
    <col min="4574" max="4574" customWidth="1" bestFit="1" width="10.0" style="5"/>
    <col min="4575" max="4575" customWidth="1" bestFit="1" width="10.0" style="5"/>
    <col min="4576" max="4576" customWidth="1" bestFit="1" width="10.0" style="5"/>
    <col min="4577" max="4577" customWidth="1" bestFit="1" width="10.0" style="5"/>
    <col min="4578" max="4578" customWidth="1" bestFit="1" width="10.0" style="5"/>
    <col min="4579" max="4579" customWidth="1" bestFit="1" width="10.0" style="5"/>
    <col min="4580" max="4580" customWidth="1" bestFit="1" width="10.0" style="5"/>
    <col min="4581" max="4581" customWidth="1" bestFit="1" width="10.0" style="5"/>
    <col min="4582" max="4582" customWidth="1" bestFit="1" width="10.0" style="5"/>
    <col min="4583" max="4583" customWidth="1" bestFit="1" width="10.0" style="5"/>
    <col min="4584" max="4584" customWidth="1" bestFit="1" width="10.0" style="5"/>
    <col min="4585" max="4585" customWidth="1" bestFit="1" width="10.0" style="5"/>
    <col min="4586" max="4586" customWidth="1" bestFit="1" width="10.0" style="5"/>
    <col min="4587" max="4587" customWidth="1" bestFit="1" width="10.0" style="5"/>
    <col min="4588" max="4588" customWidth="1" bestFit="1" width="10.0" style="5"/>
    <col min="4589" max="4589" customWidth="1" bestFit="1" width="10.0" style="5"/>
    <col min="4590" max="4590" customWidth="1" bestFit="1" width="10.0" style="5"/>
    <col min="4591" max="4591" customWidth="1" bestFit="1" width="10.0" style="5"/>
    <col min="4592" max="4592" customWidth="1" bestFit="1" width="10.0" style="5"/>
    <col min="4593" max="4593" customWidth="1" bestFit="1" width="10.0" style="5"/>
    <col min="4594" max="4594" customWidth="1" bestFit="1" width="10.0" style="5"/>
    <col min="4595" max="4595" customWidth="1" bestFit="1" width="10.0" style="5"/>
    <col min="4596" max="4596" customWidth="1" bestFit="1" width="10.0" style="5"/>
    <col min="4597" max="4597" customWidth="1" bestFit="1" width="10.0" style="5"/>
    <col min="4598" max="4598" customWidth="1" bestFit="1" width="10.0" style="5"/>
    <col min="4599" max="4599" customWidth="1" bestFit="1" width="10.0" style="5"/>
    <col min="4600" max="4600" customWidth="1" bestFit="1" width="10.0" style="5"/>
    <col min="4601" max="4601" customWidth="1" bestFit="1" width="10.0" style="5"/>
    <col min="4602" max="4602" customWidth="1" bestFit="1" width="10.0" style="5"/>
    <col min="4603" max="4603" customWidth="1" bestFit="1" width="10.0" style="5"/>
    <col min="4604" max="4604" customWidth="1" bestFit="1" width="10.0" style="5"/>
    <col min="4605" max="4605" customWidth="1" bestFit="1" width="10.0" style="5"/>
    <col min="4606" max="4606" customWidth="1" bestFit="1" width="10.0" style="5"/>
    <col min="4607" max="4607" customWidth="1" bestFit="1" width="10.0" style="5"/>
    <col min="4608" max="4608" customWidth="1" bestFit="1" width="10.0" style="5"/>
    <col min="4609" max="4609" customWidth="1" bestFit="1" width="10.0" style="5"/>
    <col min="4610" max="4610" customWidth="1" bestFit="1" width="10.0" style="5"/>
    <col min="4611" max="4611" customWidth="1" bestFit="1" width="10.0" style="5"/>
    <col min="4612" max="4612" customWidth="1" bestFit="1" width="10.0" style="5"/>
    <col min="4613" max="4613" customWidth="1" bestFit="1" width="10.0" style="5"/>
    <col min="4614" max="4614" customWidth="1" bestFit="1" width="10.0" style="5"/>
    <col min="4615" max="4615" customWidth="1" bestFit="1" width="10.0" style="5"/>
    <col min="4616" max="4616" customWidth="1" bestFit="1" width="10.0" style="5"/>
    <col min="4617" max="4617" customWidth="1" bestFit="1" width="10.0" style="5"/>
    <col min="4618" max="4618" customWidth="1" bestFit="1" width="10.0" style="5"/>
    <col min="4619" max="4619" customWidth="1" bestFit="1" width="10.0" style="5"/>
    <col min="4620" max="4620" customWidth="1" bestFit="1" width="10.0" style="5"/>
    <col min="4621" max="4621" customWidth="1" bestFit="1" width="10.0" style="5"/>
    <col min="4622" max="4622" customWidth="1" bestFit="1" width="10.0" style="5"/>
    <col min="4623" max="4623" customWidth="1" bestFit="1" width="10.0" style="5"/>
    <col min="4624" max="4624" customWidth="1" bestFit="1" width="10.0" style="5"/>
    <col min="4625" max="4625" customWidth="1" bestFit="1" width="10.0" style="5"/>
    <col min="4626" max="4626" customWidth="1" bestFit="1" width="10.0" style="5"/>
    <col min="4627" max="4627" customWidth="1" bestFit="1" width="10.0" style="5"/>
    <col min="4628" max="4628" customWidth="1" bestFit="1" width="10.0" style="5"/>
    <col min="4629" max="4629" customWidth="1" bestFit="1" width="10.0" style="5"/>
    <col min="4630" max="4630" customWidth="1" bestFit="1" width="10.0" style="5"/>
    <col min="4631" max="4631" customWidth="1" bestFit="1" width="10.0" style="5"/>
    <col min="4632" max="4632" customWidth="1" bestFit="1" width="10.0" style="5"/>
    <col min="4633" max="4633" customWidth="1" bestFit="1" width="10.0" style="5"/>
    <col min="4634" max="4634" customWidth="1" bestFit="1" width="10.0" style="5"/>
    <col min="4635" max="4635" customWidth="1" bestFit="1" width="10.0" style="5"/>
    <col min="4636" max="4636" customWidth="1" bestFit="1" width="10.0" style="5"/>
    <col min="4637" max="4637" customWidth="1" bestFit="1" width="10.0" style="5"/>
    <col min="4638" max="4638" customWidth="1" bestFit="1" width="10.0" style="5"/>
    <col min="4639" max="4639" customWidth="1" bestFit="1" width="10.0" style="5"/>
    <col min="4640" max="4640" customWidth="1" bestFit="1" width="10.0" style="5"/>
    <col min="4641" max="4641" customWidth="1" bestFit="1" width="10.0" style="5"/>
    <col min="4642" max="4642" customWidth="1" bestFit="1" width="10.0" style="5"/>
    <col min="4643" max="4643" customWidth="1" bestFit="1" width="10.0" style="5"/>
    <col min="4644" max="4644" customWidth="1" bestFit="1" width="10.0" style="5"/>
    <col min="4645" max="4645" customWidth="1" bestFit="1" width="10.0" style="5"/>
    <col min="4646" max="4646" customWidth="1" bestFit="1" width="10.0" style="5"/>
    <col min="4647" max="4647" customWidth="1" bestFit="1" width="10.0" style="5"/>
    <col min="4648" max="4648" customWidth="1" bestFit="1" width="10.0" style="5"/>
    <col min="4649" max="4649" customWidth="1" bestFit="1" width="10.0" style="5"/>
    <col min="4650" max="4650" customWidth="1" bestFit="1" width="10.0" style="5"/>
    <col min="4651" max="4651" customWidth="1" bestFit="1" width="10.0" style="5"/>
    <col min="4652" max="4652" customWidth="1" bestFit="1" width="10.0" style="5"/>
    <col min="4653" max="4653" customWidth="1" bestFit="1" width="10.0" style="5"/>
    <col min="4654" max="4654" customWidth="1" bestFit="1" width="10.0" style="5"/>
    <col min="4655" max="4655" customWidth="1" bestFit="1" width="10.0" style="5"/>
    <col min="4656" max="4656" customWidth="1" bestFit="1" width="10.0" style="5"/>
    <col min="4657" max="4657" customWidth="1" bestFit="1" width="10.0" style="5"/>
    <col min="4658" max="4658" customWidth="1" bestFit="1" width="10.0" style="5"/>
    <col min="4659" max="4659" customWidth="1" bestFit="1" width="10.0" style="5"/>
    <col min="4660" max="4660" customWidth="1" bestFit="1" width="10.0" style="5"/>
    <col min="4661" max="4661" customWidth="1" bestFit="1" width="10.0" style="5"/>
    <col min="4662" max="4662" customWidth="1" bestFit="1" width="10.0" style="5"/>
    <col min="4663" max="4663" customWidth="1" bestFit="1" width="10.0" style="5"/>
    <col min="4664" max="4664" customWidth="1" bestFit="1" width="10.0" style="5"/>
    <col min="4665" max="4665" customWidth="1" bestFit="1" width="10.0" style="5"/>
    <col min="4666" max="4666" customWidth="1" bestFit="1" width="10.0" style="5"/>
    <col min="4667" max="4667" customWidth="1" bestFit="1" width="10.0" style="5"/>
    <col min="4668" max="4668" customWidth="1" bestFit="1" width="10.0" style="5"/>
    <col min="4669" max="4669" customWidth="1" bestFit="1" width="10.0" style="5"/>
    <col min="4670" max="4670" customWidth="1" bestFit="1" width="10.0" style="5"/>
    <col min="4671" max="4671" customWidth="1" bestFit="1" width="10.0" style="5"/>
    <col min="4672" max="4672" customWidth="1" bestFit="1" width="10.0" style="5"/>
    <col min="4673" max="4673" customWidth="1" bestFit="1" width="10.0" style="5"/>
    <col min="4674" max="4674" customWidth="1" bestFit="1" width="10.0" style="5"/>
    <col min="4675" max="4675" customWidth="1" bestFit="1" width="10.0" style="5"/>
    <col min="4676" max="4676" customWidth="1" bestFit="1" width="10.0" style="5"/>
    <col min="4677" max="4677" customWidth="1" bestFit="1" width="10.0" style="5"/>
    <col min="4678" max="4678" customWidth="1" bestFit="1" width="10.0" style="5"/>
    <col min="4679" max="4679" customWidth="1" bestFit="1" width="10.0" style="5"/>
    <col min="4680" max="4680" customWidth="1" bestFit="1" width="10.0" style="5"/>
    <col min="4681" max="4681" customWidth="1" bestFit="1" width="10.0" style="5"/>
    <col min="4682" max="4682" customWidth="1" bestFit="1" width="10.0" style="5"/>
    <col min="4683" max="4683" customWidth="1" bestFit="1" width="10.0" style="5"/>
    <col min="4684" max="4684" customWidth="1" bestFit="1" width="10.0" style="5"/>
    <col min="4685" max="4685" customWidth="1" bestFit="1" width="10.0" style="5"/>
    <col min="4686" max="4686" customWidth="1" bestFit="1" width="10.0" style="5"/>
    <col min="4687" max="4687" customWidth="1" bestFit="1" width="10.0" style="5"/>
    <col min="4688" max="4688" customWidth="1" bestFit="1" width="10.0" style="5"/>
    <col min="4689" max="4689" customWidth="1" bestFit="1" width="10.0" style="5"/>
    <col min="4690" max="4690" customWidth="1" bestFit="1" width="10.0" style="5"/>
    <col min="4691" max="4691" customWidth="1" bestFit="1" width="10.0" style="5"/>
    <col min="4692" max="4692" customWidth="1" bestFit="1" width="10.0" style="5"/>
    <col min="4693" max="4693" customWidth="1" bestFit="1" width="10.0" style="5"/>
    <col min="4694" max="4694" customWidth="1" bestFit="1" width="10.0" style="5"/>
    <col min="4695" max="4695" customWidth="1" bestFit="1" width="10.0" style="5"/>
    <col min="4696" max="4696" customWidth="1" bestFit="1" width="10.0" style="5"/>
    <col min="4697" max="4697" customWidth="1" bestFit="1" width="10.0" style="5"/>
    <col min="4698" max="4698" customWidth="1" bestFit="1" width="10.0" style="5"/>
    <col min="4699" max="4699" customWidth="1" bestFit="1" width="10.0" style="5"/>
    <col min="4700" max="4700" customWidth="1" bestFit="1" width="10.0" style="5"/>
    <col min="4701" max="4701" customWidth="1" bestFit="1" width="10.0" style="5"/>
    <col min="4702" max="4702" customWidth="1" bestFit="1" width="10.0" style="5"/>
    <col min="4703" max="4703" customWidth="1" bestFit="1" width="10.0" style="5"/>
    <col min="4704" max="4704" customWidth="1" bestFit="1" width="10.0" style="5"/>
    <col min="4705" max="4705" customWidth="1" bestFit="1" width="10.0" style="5"/>
    <col min="4706" max="4706" customWidth="1" bestFit="1" width="10.0" style="5"/>
    <col min="4707" max="4707" customWidth="1" bestFit="1" width="10.0" style="5"/>
    <col min="4708" max="4708" customWidth="1" bestFit="1" width="10.0" style="5"/>
    <col min="4709" max="4709" customWidth="1" bestFit="1" width="10.0" style="5"/>
    <col min="4710" max="4710" customWidth="1" bestFit="1" width="10.0" style="5"/>
    <col min="4711" max="4711" customWidth="1" bestFit="1" width="10.0" style="5"/>
    <col min="4712" max="4712" customWidth="1" bestFit="1" width="10.0" style="5"/>
    <col min="4713" max="4713" customWidth="1" bestFit="1" width="10.0" style="5"/>
    <col min="4714" max="4714" customWidth="1" bestFit="1" width="10.0" style="5"/>
    <col min="4715" max="4715" customWidth="1" bestFit="1" width="10.0" style="5"/>
    <col min="4716" max="4716" customWidth="1" bestFit="1" width="10.0" style="5"/>
    <col min="4717" max="4717" customWidth="1" bestFit="1" width="10.0" style="5"/>
    <col min="4718" max="4718" customWidth="1" bestFit="1" width="10.0" style="5"/>
    <col min="4719" max="4719" customWidth="1" bestFit="1" width="10.0" style="5"/>
    <col min="4720" max="4720" customWidth="1" bestFit="1" width="10.0" style="5"/>
    <col min="4721" max="4721" customWidth="1" bestFit="1" width="10.0" style="5"/>
    <col min="4722" max="4722" customWidth="1" bestFit="1" width="10.0" style="5"/>
    <col min="4723" max="4723" customWidth="1" bestFit="1" width="10.0" style="5"/>
    <col min="4724" max="4724" customWidth="1" bestFit="1" width="10.0" style="5"/>
    <col min="4725" max="4725" customWidth="1" bestFit="1" width="10.0" style="5"/>
    <col min="4726" max="4726" customWidth="1" bestFit="1" width="10.0" style="5"/>
    <col min="4727" max="4727" customWidth="1" bestFit="1" width="10.0" style="5"/>
    <col min="4728" max="4728" customWidth="1" bestFit="1" width="10.0" style="5"/>
    <col min="4729" max="4729" customWidth="1" bestFit="1" width="10.0" style="5"/>
    <col min="4730" max="4730" customWidth="1" bestFit="1" width="10.0" style="5"/>
    <col min="4731" max="4731" customWidth="1" bestFit="1" width="10.0" style="5"/>
    <col min="4732" max="4732" customWidth="1" bestFit="1" width="10.0" style="5"/>
    <col min="4733" max="4733" customWidth="1" bestFit="1" width="10.0" style="5"/>
    <col min="4734" max="4734" customWidth="1" bestFit="1" width="10.0" style="5"/>
    <col min="4735" max="4735" customWidth="1" bestFit="1" width="10.0" style="5"/>
    <col min="4736" max="4736" customWidth="1" bestFit="1" width="10.0" style="5"/>
    <col min="4737" max="4737" customWidth="1" bestFit="1" width="10.0" style="5"/>
    <col min="4738" max="4738" customWidth="1" bestFit="1" width="10.0" style="5"/>
    <col min="4739" max="4739" customWidth="1" bestFit="1" width="10.0" style="5"/>
    <col min="4740" max="4740" customWidth="1" bestFit="1" width="10.0" style="5"/>
    <col min="4741" max="4741" customWidth="1" bestFit="1" width="10.0" style="5"/>
    <col min="4742" max="4742" customWidth="1" bestFit="1" width="10.0" style="5"/>
    <col min="4743" max="4743" customWidth="1" bestFit="1" width="10.0" style="5"/>
    <col min="4744" max="4744" customWidth="1" bestFit="1" width="10.0" style="5"/>
    <col min="4745" max="4745" customWidth="1" bestFit="1" width="10.0" style="5"/>
    <col min="4746" max="4746" customWidth="1" bestFit="1" width="10.0" style="5"/>
    <col min="4747" max="4747" customWidth="1" bestFit="1" width="10.0" style="5"/>
    <col min="4748" max="4748" customWidth="1" bestFit="1" width="10.0" style="5"/>
    <col min="4749" max="4749" customWidth="1" bestFit="1" width="10.0" style="5"/>
    <col min="4750" max="4750" customWidth="1" bestFit="1" width="10.0" style="5"/>
    <col min="4751" max="4751" customWidth="1" bestFit="1" width="10.0" style="5"/>
    <col min="4752" max="4752" customWidth="1" bestFit="1" width="10.0" style="5"/>
    <col min="4753" max="4753" customWidth="1" bestFit="1" width="10.0" style="5"/>
    <col min="4754" max="4754" customWidth="1" bestFit="1" width="10.0" style="5"/>
    <col min="4755" max="4755" customWidth="1" bestFit="1" width="10.0" style="5"/>
    <col min="4756" max="4756" customWidth="1" bestFit="1" width="10.0" style="5"/>
    <col min="4757" max="4757" customWidth="1" bestFit="1" width="10.0" style="5"/>
    <col min="4758" max="4758" customWidth="1" bestFit="1" width="10.0" style="5"/>
    <col min="4759" max="4759" customWidth="1" bestFit="1" width="10.0" style="5"/>
    <col min="4760" max="4760" customWidth="1" bestFit="1" width="10.0" style="5"/>
    <col min="4761" max="4761" customWidth="1" bestFit="1" width="10.0" style="5"/>
    <col min="4762" max="4762" customWidth="1" bestFit="1" width="10.0" style="5"/>
    <col min="4763" max="4763" customWidth="1" bestFit="1" width="10.0" style="5"/>
    <col min="4764" max="4764" customWidth="1" bestFit="1" width="10.0" style="5"/>
    <col min="4765" max="4765" customWidth="1" bestFit="1" width="10.0" style="5"/>
    <col min="4766" max="4766" customWidth="1" bestFit="1" width="10.0" style="5"/>
    <col min="4767" max="4767" customWidth="1" bestFit="1" width="10.0" style="5"/>
    <col min="4768" max="4768" customWidth="1" bestFit="1" width="10.0" style="5"/>
    <col min="4769" max="4769" customWidth="1" bestFit="1" width="10.0" style="5"/>
    <col min="4770" max="4770" customWidth="1" bestFit="1" width="10.0" style="5"/>
    <col min="4771" max="4771" customWidth="1" bestFit="1" width="10.0" style="5"/>
    <col min="4772" max="4772" customWidth="1" bestFit="1" width="10.0" style="5"/>
    <col min="4773" max="4773" customWidth="1" bestFit="1" width="10.0" style="5"/>
    <col min="4774" max="4774" customWidth="1" bestFit="1" width="10.0" style="5"/>
    <col min="4775" max="4775" customWidth="1" bestFit="1" width="10.0" style="5"/>
    <col min="4776" max="4776" customWidth="1" bestFit="1" width="10.0" style="5"/>
    <col min="4777" max="4777" customWidth="1" bestFit="1" width="10.0" style="5"/>
    <col min="4778" max="4778" customWidth="1" bestFit="1" width="10.0" style="5"/>
    <col min="4779" max="4779" customWidth="1" bestFit="1" width="10.0" style="5"/>
    <col min="4780" max="4780" customWidth="1" bestFit="1" width="10.0" style="5"/>
    <col min="4781" max="4781" customWidth="1" bestFit="1" width="10.0" style="5"/>
    <col min="4782" max="4782" customWidth="1" bestFit="1" width="10.0" style="5"/>
    <col min="4783" max="4783" customWidth="1" bestFit="1" width="10.0" style="5"/>
    <col min="4784" max="4784" customWidth="1" bestFit="1" width="10.0" style="5"/>
    <col min="4785" max="4785" customWidth="1" bestFit="1" width="10.0" style="5"/>
    <col min="4786" max="4786" customWidth="1" bestFit="1" width="10.0" style="5"/>
    <col min="4787" max="4787" customWidth="1" bestFit="1" width="10.0" style="5"/>
    <col min="4788" max="4788" customWidth="1" bestFit="1" width="10.0" style="5"/>
    <col min="4789" max="4789" customWidth="1" bestFit="1" width="10.0" style="5"/>
    <col min="4790" max="4790" customWidth="1" bestFit="1" width="10.0" style="5"/>
    <col min="4791" max="4791" customWidth="1" bestFit="1" width="10.0" style="5"/>
    <col min="4792" max="4792" customWidth="1" bestFit="1" width="10.0" style="5"/>
    <col min="4793" max="4793" customWidth="1" bestFit="1" width="10.0" style="5"/>
    <col min="4794" max="4794" customWidth="1" bestFit="1" width="10.0" style="5"/>
    <col min="4795" max="4795" customWidth="1" bestFit="1" width="10.0" style="5"/>
    <col min="4796" max="4796" customWidth="1" bestFit="1" width="10.0" style="5"/>
    <col min="4797" max="4797" customWidth="1" bestFit="1" width="10.0" style="5"/>
    <col min="4798" max="4798" customWidth="1" bestFit="1" width="10.0" style="5"/>
    <col min="4799" max="4799" customWidth="1" bestFit="1" width="10.0" style="5"/>
    <col min="4800" max="4800" customWidth="1" bestFit="1" width="10.0" style="5"/>
    <col min="4801" max="4801" customWidth="1" bestFit="1" width="10.0" style="5"/>
    <col min="4802" max="4802" customWidth="1" bestFit="1" width="10.0" style="5"/>
    <col min="4803" max="4803" customWidth="1" bestFit="1" width="10.0" style="5"/>
    <col min="4804" max="4804" customWidth="1" bestFit="1" width="10.0" style="5"/>
    <col min="4805" max="4805" customWidth="1" bestFit="1" width="10.0" style="5"/>
    <col min="4806" max="4806" customWidth="1" bestFit="1" width="10.0" style="5"/>
    <col min="4807" max="4807" customWidth="1" bestFit="1" width="10.0" style="5"/>
    <col min="4808" max="4808" customWidth="1" bestFit="1" width="10.0" style="5"/>
    <col min="4809" max="4809" customWidth="1" bestFit="1" width="10.0" style="5"/>
    <col min="4810" max="4810" customWidth="1" bestFit="1" width="10.0" style="5"/>
    <col min="4811" max="4811" customWidth="1" bestFit="1" width="10.0" style="5"/>
    <col min="4812" max="4812" customWidth="1" bestFit="1" width="10.0" style="5"/>
    <col min="4813" max="4813" customWidth="1" bestFit="1" width="10.0" style="5"/>
    <col min="4814" max="4814" customWidth="1" bestFit="1" width="10.0" style="5"/>
    <col min="4815" max="4815" customWidth="1" bestFit="1" width="10.0" style="5"/>
    <col min="4816" max="4816" customWidth="1" bestFit="1" width="10.0" style="5"/>
    <col min="4817" max="4817" customWidth="1" bestFit="1" width="10.0" style="5"/>
    <col min="4818" max="4818" customWidth="1" bestFit="1" width="10.0" style="5"/>
    <col min="4819" max="4819" customWidth="1" bestFit="1" width="10.0" style="5"/>
    <col min="4820" max="4820" customWidth="1" bestFit="1" width="10.0" style="5"/>
    <col min="4821" max="4821" customWidth="1" bestFit="1" width="10.0" style="5"/>
    <col min="4822" max="4822" customWidth="1" bestFit="1" width="10.0" style="5"/>
    <col min="4823" max="4823" customWidth="1" bestFit="1" width="10.0" style="5"/>
    <col min="4824" max="4824" customWidth="1" bestFit="1" width="10.0" style="5"/>
    <col min="4825" max="4825" customWidth="1" bestFit="1" width="10.0" style="5"/>
    <col min="4826" max="4826" customWidth="1" bestFit="1" width="10.0" style="5"/>
    <col min="4827" max="4827" customWidth="1" bestFit="1" width="10.0" style="5"/>
    <col min="4828" max="4828" customWidth="1" bestFit="1" width="10.0" style="5"/>
    <col min="4829" max="4829" customWidth="1" bestFit="1" width="10.0" style="5"/>
    <col min="4830" max="4830" customWidth="1" bestFit="1" width="10.0" style="5"/>
    <col min="4831" max="4831" customWidth="1" bestFit="1" width="10.0" style="5"/>
    <col min="4832" max="4832" customWidth="1" bestFit="1" width="10.0" style="5"/>
    <col min="4833" max="4833" customWidth="1" bestFit="1" width="10.0" style="5"/>
    <col min="4834" max="4834" customWidth="1" bestFit="1" width="10.0" style="5"/>
    <col min="4835" max="4835" customWidth="1" bestFit="1" width="10.0" style="5"/>
    <col min="4836" max="4836" customWidth="1" bestFit="1" width="10.0" style="5"/>
    <col min="4837" max="4837" customWidth="1" bestFit="1" width="10.0" style="5"/>
    <col min="4838" max="4838" customWidth="1" bestFit="1" width="10.0" style="5"/>
    <col min="4839" max="4839" customWidth="1" bestFit="1" width="10.0" style="5"/>
    <col min="4840" max="4840" customWidth="1" bestFit="1" width="10.0" style="5"/>
    <col min="4841" max="4841" customWidth="1" bestFit="1" width="10.0" style="5"/>
    <col min="4842" max="4842" customWidth="1" bestFit="1" width="10.0" style="5"/>
    <col min="4843" max="4843" customWidth="1" bestFit="1" width="10.0" style="5"/>
    <col min="4844" max="4844" customWidth="1" bestFit="1" width="10.0" style="5"/>
    <col min="4845" max="4845" customWidth="1" bestFit="1" width="10.0" style="5"/>
    <col min="4846" max="4846" customWidth="1" bestFit="1" width="10.0" style="5"/>
    <col min="4847" max="4847" customWidth="1" bestFit="1" width="10.0" style="5"/>
    <col min="4848" max="4848" customWidth="1" bestFit="1" width="10.0" style="5"/>
    <col min="4849" max="4849" customWidth="1" bestFit="1" width="10.0" style="5"/>
    <col min="4850" max="4850" customWidth="1" bestFit="1" width="10.0" style="5"/>
    <col min="4851" max="4851" customWidth="1" bestFit="1" width="10.0" style="5"/>
    <col min="4852" max="4852" customWidth="1" bestFit="1" width="10.0" style="5"/>
    <col min="4853" max="4853" customWidth="1" bestFit="1" width="10.0" style="5"/>
    <col min="4854" max="4854" customWidth="1" bestFit="1" width="10.0" style="5"/>
    <col min="4855" max="4855" customWidth="1" bestFit="1" width="10.0" style="5"/>
    <col min="4856" max="4856" customWidth="1" bestFit="1" width="10.0" style="5"/>
    <col min="4857" max="4857" customWidth="1" bestFit="1" width="10.0" style="5"/>
    <col min="4858" max="4858" customWidth="1" bestFit="1" width="10.0" style="5"/>
    <col min="4859" max="4859" customWidth="1" bestFit="1" width="10.0" style="5"/>
    <col min="4860" max="4860" customWidth="1" bestFit="1" width="10.0" style="5"/>
    <col min="4861" max="4861" customWidth="1" bestFit="1" width="10.0" style="5"/>
    <col min="4862" max="4862" customWidth="1" bestFit="1" width="10.0" style="5"/>
    <col min="4863" max="4863" customWidth="1" bestFit="1" width="10.0" style="5"/>
    <col min="4864" max="4864" customWidth="1" bestFit="1" width="10.0" style="5"/>
    <col min="4865" max="4865" customWidth="1" bestFit="1" width="10.0" style="5"/>
    <col min="4866" max="4866" customWidth="1" bestFit="1" width="10.0" style="5"/>
    <col min="4867" max="4867" customWidth="1" bestFit="1" width="10.0" style="5"/>
    <col min="4868" max="4868" customWidth="1" bestFit="1" width="10.0" style="5"/>
    <col min="4869" max="4869" customWidth="1" bestFit="1" width="10.0" style="5"/>
    <col min="4870" max="4870" customWidth="1" bestFit="1" width="10.0" style="5"/>
    <col min="4871" max="4871" customWidth="1" bestFit="1" width="10.0" style="5"/>
    <col min="4872" max="4872" customWidth="1" bestFit="1" width="10.0" style="5"/>
    <col min="4873" max="4873" customWidth="1" bestFit="1" width="10.0" style="5"/>
    <col min="4874" max="4874" customWidth="1" bestFit="1" width="10.0" style="5"/>
    <col min="4875" max="4875" customWidth="1" bestFit="1" width="10.0" style="5"/>
    <col min="4876" max="4876" customWidth="1" bestFit="1" width="10.0" style="5"/>
    <col min="4877" max="4877" customWidth="1" bestFit="1" width="10.0" style="5"/>
    <col min="4878" max="4878" customWidth="1" bestFit="1" width="10.0" style="5"/>
    <col min="4879" max="4879" customWidth="1" bestFit="1" width="10.0" style="5"/>
    <col min="4880" max="4880" customWidth="1" bestFit="1" width="10.0" style="5"/>
    <col min="4881" max="4881" customWidth="1" bestFit="1" width="10.0" style="5"/>
    <col min="4882" max="4882" customWidth="1" bestFit="1" width="10.0" style="5"/>
    <col min="4883" max="4883" customWidth="1" bestFit="1" width="10.0" style="5"/>
    <col min="4884" max="4884" customWidth="1" bestFit="1" width="10.0" style="5"/>
    <col min="4885" max="4885" customWidth="1" bestFit="1" width="10.0" style="5"/>
    <col min="4886" max="4886" customWidth="1" bestFit="1" width="10.0" style="5"/>
    <col min="4887" max="4887" customWidth="1" bestFit="1" width="10.0" style="5"/>
    <col min="4888" max="4888" customWidth="1" bestFit="1" width="10.0" style="5"/>
    <col min="4889" max="4889" customWidth="1" bestFit="1" width="10.0" style="5"/>
    <col min="4890" max="4890" customWidth="1" bestFit="1" width="10.0" style="5"/>
    <col min="4891" max="4891" customWidth="1" bestFit="1" width="10.0" style="5"/>
    <col min="4892" max="4892" customWidth="1" bestFit="1" width="10.0" style="5"/>
    <col min="4893" max="4893" customWidth="1" bestFit="1" width="10.0" style="5"/>
    <col min="4894" max="4894" customWidth="1" bestFit="1" width="10.0" style="5"/>
    <col min="4895" max="4895" customWidth="1" bestFit="1" width="10.0" style="5"/>
    <col min="4896" max="4896" customWidth="1" bestFit="1" width="10.0" style="5"/>
    <col min="4897" max="4897" customWidth="1" bestFit="1" width="10.0" style="5"/>
    <col min="4898" max="4898" customWidth="1" bestFit="1" width="10.0" style="5"/>
    <col min="4899" max="4899" customWidth="1" bestFit="1" width="10.0" style="5"/>
    <col min="4900" max="4900" customWidth="1" bestFit="1" width="10.0" style="5"/>
    <col min="4901" max="4901" customWidth="1" bestFit="1" width="10.0" style="5"/>
    <col min="4902" max="4902" customWidth="1" bestFit="1" width="10.0" style="5"/>
    <col min="4903" max="4903" customWidth="1" bestFit="1" width="10.0" style="5"/>
    <col min="4904" max="4904" customWidth="1" bestFit="1" width="10.0" style="5"/>
    <col min="4905" max="4905" customWidth="1" bestFit="1" width="10.0" style="5"/>
    <col min="4906" max="4906" customWidth="1" bestFit="1" width="10.0" style="5"/>
    <col min="4907" max="4907" customWidth="1" bestFit="1" width="10.0" style="5"/>
    <col min="4908" max="4908" customWidth="1" bestFit="1" width="10.0" style="5"/>
    <col min="4909" max="4909" customWidth="1" bestFit="1" width="10.0" style="5"/>
    <col min="4910" max="4910" customWidth="1" bestFit="1" width="10.0" style="5"/>
    <col min="4911" max="4911" customWidth="1" bestFit="1" width="10.0" style="5"/>
    <col min="4912" max="4912" customWidth="1" bestFit="1" width="10.0" style="5"/>
    <col min="4913" max="4913" customWidth="1" bestFit="1" width="10.0" style="5"/>
    <col min="4914" max="4914" customWidth="1" bestFit="1" width="10.0" style="5"/>
    <col min="4915" max="4915" customWidth="1" bestFit="1" width="10.0" style="5"/>
    <col min="4916" max="4916" customWidth="1" bestFit="1" width="10.0" style="5"/>
    <col min="4917" max="4917" customWidth="1" bestFit="1" width="10.0" style="5"/>
    <col min="4918" max="4918" customWidth="1" bestFit="1" width="10.0" style="5"/>
    <col min="4919" max="4919" customWidth="1" bestFit="1" width="10.0" style="5"/>
    <col min="4920" max="4920" customWidth="1" bestFit="1" width="10.0" style="5"/>
    <col min="4921" max="4921" customWidth="1" bestFit="1" width="10.0" style="5"/>
    <col min="4922" max="4922" customWidth="1" bestFit="1" width="10.0" style="5"/>
    <col min="4923" max="4923" customWidth="1" bestFit="1" width="10.0" style="5"/>
    <col min="4924" max="4924" customWidth="1" bestFit="1" width="10.0" style="5"/>
    <col min="4925" max="4925" customWidth="1" bestFit="1" width="10.0" style="5"/>
    <col min="4926" max="4926" customWidth="1" bestFit="1" width="10.0" style="5"/>
    <col min="4927" max="4927" customWidth="1" bestFit="1" width="10.0" style="5"/>
    <col min="4928" max="4928" customWidth="1" bestFit="1" width="10.0" style="5"/>
    <col min="4929" max="4929" customWidth="1" bestFit="1" width="10.0" style="5"/>
    <col min="4930" max="4930" customWidth="1" bestFit="1" width="10.0" style="5"/>
    <col min="4931" max="4931" customWidth="1" bestFit="1" width="10.0" style="5"/>
    <col min="4932" max="4932" customWidth="1" bestFit="1" width="10.0" style="5"/>
    <col min="4933" max="4933" customWidth="1" bestFit="1" width="10.0" style="5"/>
    <col min="4934" max="4934" customWidth="1" bestFit="1" width="10.0" style="5"/>
    <col min="4935" max="4935" customWidth="1" bestFit="1" width="10.0" style="5"/>
    <col min="4936" max="4936" customWidth="1" bestFit="1" width="10.0" style="5"/>
    <col min="4937" max="4937" customWidth="1" bestFit="1" width="10.0" style="5"/>
    <col min="4938" max="4938" customWidth="1" bestFit="1" width="10.0" style="5"/>
    <col min="4939" max="4939" customWidth="1" bestFit="1" width="10.0" style="5"/>
    <col min="4940" max="4940" customWidth="1" bestFit="1" width="10.0" style="5"/>
    <col min="4941" max="4941" customWidth="1" bestFit="1" width="10.0" style="5"/>
    <col min="4942" max="4942" customWidth="1" bestFit="1" width="10.0" style="5"/>
    <col min="4943" max="4943" customWidth="1" bestFit="1" width="10.0" style="5"/>
    <col min="4944" max="4944" customWidth="1" bestFit="1" width="10.0" style="5"/>
    <col min="4945" max="4945" customWidth="1" bestFit="1" width="10.0" style="5"/>
    <col min="4946" max="4946" customWidth="1" bestFit="1" width="10.0" style="5"/>
    <col min="4947" max="4947" customWidth="1" bestFit="1" width="10.0" style="5"/>
    <col min="4948" max="4948" customWidth="1" bestFit="1" width="10.0" style="5"/>
    <col min="4949" max="4949" customWidth="1" bestFit="1" width="10.0" style="5"/>
    <col min="4950" max="4950" customWidth="1" bestFit="1" width="10.0" style="5"/>
    <col min="4951" max="4951" customWidth="1" bestFit="1" width="10.0" style="5"/>
    <col min="4952" max="4952" customWidth="1" bestFit="1" width="10.0" style="5"/>
    <col min="4953" max="4953" customWidth="1" bestFit="1" width="10.0" style="5"/>
    <col min="4954" max="4954" customWidth="1" bestFit="1" width="10.0" style="5"/>
    <col min="4955" max="4955" customWidth="1" bestFit="1" width="10.0" style="5"/>
    <col min="4956" max="4956" customWidth="1" bestFit="1" width="10.0" style="5"/>
    <col min="4957" max="4957" customWidth="1" bestFit="1" width="10.0" style="5"/>
    <col min="4958" max="4958" customWidth="1" bestFit="1" width="10.0" style="5"/>
    <col min="4959" max="4959" customWidth="1" bestFit="1" width="10.0" style="5"/>
    <col min="4960" max="4960" customWidth="1" bestFit="1" width="10.0" style="5"/>
    <col min="4961" max="4961" customWidth="1" bestFit="1" width="10.0" style="5"/>
    <col min="4962" max="4962" customWidth="1" bestFit="1" width="10.0" style="5"/>
    <col min="4963" max="4963" customWidth="1" bestFit="1" width="10.0" style="5"/>
    <col min="4964" max="4964" customWidth="1" bestFit="1" width="10.0" style="5"/>
    <col min="4965" max="4965" customWidth="1" bestFit="1" width="10.0" style="5"/>
    <col min="4966" max="4966" customWidth="1" bestFit="1" width="10.0" style="5"/>
    <col min="4967" max="4967" customWidth="1" bestFit="1" width="10.0" style="5"/>
    <col min="4968" max="4968" customWidth="1" bestFit="1" width="10.0" style="5"/>
    <col min="4969" max="4969" customWidth="1" bestFit="1" width="10.0" style="5"/>
    <col min="4970" max="4970" customWidth="1" bestFit="1" width="10.0" style="5"/>
    <col min="4971" max="4971" customWidth="1" bestFit="1" width="10.0" style="5"/>
    <col min="4972" max="4972" customWidth="1" bestFit="1" width="10.0" style="5"/>
    <col min="4973" max="4973" customWidth="1" bestFit="1" width="10.0" style="5"/>
    <col min="4974" max="4974" customWidth="1" bestFit="1" width="10.0" style="5"/>
    <col min="4975" max="4975" customWidth="1" bestFit="1" width="10.0" style="5"/>
    <col min="4976" max="4976" customWidth="1" bestFit="1" width="10.0" style="5"/>
    <col min="4977" max="4977" customWidth="1" bestFit="1" width="10.0" style="5"/>
    <col min="4978" max="4978" customWidth="1" bestFit="1" width="10.0" style="5"/>
    <col min="4979" max="4979" customWidth="1" bestFit="1" width="10.0" style="5"/>
    <col min="4980" max="4980" customWidth="1" bestFit="1" width="10.0" style="5"/>
    <col min="4981" max="4981" customWidth="1" bestFit="1" width="10.0" style="5"/>
    <col min="4982" max="4982" customWidth="1" bestFit="1" width="10.0" style="5"/>
    <col min="4983" max="4983" customWidth="1" bestFit="1" width="10.0" style="5"/>
    <col min="4984" max="4984" customWidth="1" bestFit="1" width="10.0" style="5"/>
    <col min="4985" max="4985" customWidth="1" bestFit="1" width="10.0" style="5"/>
    <col min="4986" max="4986" customWidth="1" bestFit="1" width="10.0" style="5"/>
    <col min="4987" max="4987" customWidth="1" bestFit="1" width="10.0" style="5"/>
    <col min="4988" max="4988" customWidth="1" bestFit="1" width="10.0" style="5"/>
    <col min="4989" max="4989" customWidth="1" bestFit="1" width="10.0" style="5"/>
    <col min="4990" max="4990" customWidth="1" bestFit="1" width="10.0" style="5"/>
    <col min="4991" max="4991" customWidth="1" bestFit="1" width="10.0" style="5"/>
    <col min="4992" max="4992" customWidth="1" bestFit="1" width="10.0" style="5"/>
    <col min="4993" max="4993" customWidth="1" bestFit="1" width="10.0" style="5"/>
    <col min="4994" max="4994" customWidth="1" bestFit="1" width="10.0" style="5"/>
    <col min="4995" max="4995" customWidth="1" bestFit="1" width="10.0" style="5"/>
    <col min="4996" max="4996" customWidth="1" bestFit="1" width="10.0" style="5"/>
    <col min="4997" max="4997" customWidth="1" bestFit="1" width="10.0" style="5"/>
    <col min="4998" max="4998" customWidth="1" bestFit="1" width="10.0" style="5"/>
    <col min="4999" max="4999" customWidth="1" bestFit="1" width="10.0" style="5"/>
    <col min="5000" max="5000" customWidth="1" bestFit="1" width="10.0" style="5"/>
    <col min="5001" max="5001" customWidth="1" bestFit="1" width="10.0" style="5"/>
    <col min="5002" max="5002" customWidth="1" bestFit="1" width="10.0" style="5"/>
    <col min="5003" max="5003" customWidth="1" bestFit="1" width="10.0" style="5"/>
    <col min="5004" max="5004" customWidth="1" bestFit="1" width="10.0" style="5"/>
    <col min="5005" max="5005" customWidth="1" bestFit="1" width="10.0" style="5"/>
    <col min="5006" max="5006" customWidth="1" bestFit="1" width="10.0" style="5"/>
    <col min="5007" max="5007" customWidth="1" bestFit="1" width="10.0" style="5"/>
    <col min="5008" max="5008" customWidth="1" bestFit="1" width="10.0" style="5"/>
    <col min="5009" max="5009" customWidth="1" bestFit="1" width="10.0" style="5"/>
    <col min="5010" max="5010" customWidth="1" bestFit="1" width="10.0" style="5"/>
    <col min="5011" max="5011" customWidth="1" bestFit="1" width="10.0" style="5"/>
    <col min="5012" max="5012" customWidth="1" bestFit="1" width="10.0" style="5"/>
    <col min="5013" max="5013" customWidth="1" bestFit="1" width="10.0" style="5"/>
    <col min="5014" max="5014" customWidth="1" bestFit="1" width="10.0" style="5"/>
    <col min="5015" max="5015" customWidth="1" bestFit="1" width="10.0" style="5"/>
    <col min="5016" max="5016" customWidth="1" bestFit="1" width="10.0" style="5"/>
    <col min="5017" max="5017" customWidth="1" bestFit="1" width="10.0" style="5"/>
    <col min="5018" max="5018" customWidth="1" bestFit="1" width="10.0" style="5"/>
    <col min="5019" max="5019" customWidth="1" bestFit="1" width="10.0" style="5"/>
    <col min="5020" max="5020" customWidth="1" bestFit="1" width="10.0" style="5"/>
    <col min="5021" max="5021" customWidth="1" bestFit="1" width="10.0" style="5"/>
    <col min="5022" max="5022" customWidth="1" bestFit="1" width="10.0" style="5"/>
    <col min="5023" max="5023" customWidth="1" bestFit="1" width="10.0" style="5"/>
    <col min="5024" max="5024" customWidth="1" bestFit="1" width="10.0" style="5"/>
    <col min="5025" max="5025" customWidth="1" bestFit="1" width="10.0" style="5"/>
    <col min="5026" max="5026" customWidth="1" bestFit="1" width="10.0" style="5"/>
    <col min="5027" max="5027" customWidth="1" bestFit="1" width="10.0" style="5"/>
    <col min="5028" max="5028" customWidth="1" bestFit="1" width="10.0" style="5"/>
    <col min="5029" max="5029" customWidth="1" bestFit="1" width="10.0" style="5"/>
    <col min="5030" max="5030" customWidth="1" bestFit="1" width="10.0" style="5"/>
    <col min="5031" max="5031" customWidth="1" bestFit="1" width="10.0" style="5"/>
    <col min="5032" max="5032" customWidth="1" bestFit="1" width="10.0" style="5"/>
    <col min="5033" max="5033" customWidth="1" bestFit="1" width="10.0" style="5"/>
    <col min="5034" max="5034" customWidth="1" bestFit="1" width="10.0" style="5"/>
    <col min="5035" max="5035" customWidth="1" bestFit="1" width="10.0" style="5"/>
    <col min="5036" max="5036" customWidth="1" bestFit="1" width="10.0" style="5"/>
    <col min="5037" max="5037" customWidth="1" bestFit="1" width="10.0" style="5"/>
    <col min="5038" max="5038" customWidth="1" bestFit="1" width="10.0" style="5"/>
    <col min="5039" max="5039" customWidth="1" bestFit="1" width="10.0" style="5"/>
    <col min="5040" max="5040" customWidth="1" bestFit="1" width="10.0" style="5"/>
    <col min="5041" max="5041" customWidth="1" bestFit="1" width="10.0" style="5"/>
    <col min="5042" max="5042" customWidth="1" bestFit="1" width="10.0" style="5"/>
    <col min="5043" max="5043" customWidth="1" bestFit="1" width="10.0" style="5"/>
    <col min="5044" max="5044" customWidth="1" bestFit="1" width="10.0" style="5"/>
    <col min="5045" max="5045" customWidth="1" bestFit="1" width="10.0" style="5"/>
    <col min="5046" max="5046" customWidth="1" bestFit="1" width="10.0" style="5"/>
    <col min="5047" max="5047" customWidth="1" bestFit="1" width="10.0" style="5"/>
    <col min="5048" max="5048" customWidth="1" bestFit="1" width="10.0" style="5"/>
    <col min="5049" max="5049" customWidth="1" bestFit="1" width="10.0" style="5"/>
    <col min="5050" max="5050" customWidth="1" bestFit="1" width="10.0" style="5"/>
    <col min="5051" max="5051" customWidth="1" bestFit="1" width="10.0" style="5"/>
    <col min="5052" max="5052" customWidth="1" bestFit="1" width="10.0" style="5"/>
    <col min="5053" max="5053" customWidth="1" bestFit="1" width="10.0" style="5"/>
    <col min="5054" max="5054" customWidth="1" bestFit="1" width="10.0" style="5"/>
    <col min="5055" max="5055" customWidth="1" bestFit="1" width="10.0" style="5"/>
    <col min="5056" max="5056" customWidth="1" bestFit="1" width="10.0" style="5"/>
    <col min="5057" max="5057" customWidth="1" bestFit="1" width="10.0" style="5"/>
    <col min="5058" max="5058" customWidth="1" bestFit="1" width="10.0" style="5"/>
    <col min="5059" max="5059" customWidth="1" bestFit="1" width="10.0" style="5"/>
    <col min="5060" max="5060" customWidth="1" bestFit="1" width="10.0" style="5"/>
    <col min="5061" max="5061" customWidth="1" bestFit="1" width="10.0" style="5"/>
    <col min="5062" max="5062" customWidth="1" bestFit="1" width="10.0" style="5"/>
    <col min="5063" max="5063" customWidth="1" bestFit="1" width="10.0" style="5"/>
    <col min="5064" max="5064" customWidth="1" bestFit="1" width="10.0" style="5"/>
    <col min="5065" max="5065" customWidth="1" bestFit="1" width="10.0" style="5"/>
    <col min="5066" max="5066" customWidth="1" bestFit="1" width="10.0" style="5"/>
    <col min="5067" max="5067" customWidth="1" bestFit="1" width="10.0" style="5"/>
    <col min="5068" max="5068" customWidth="1" bestFit="1" width="10.0" style="5"/>
    <col min="5069" max="5069" customWidth="1" bestFit="1" width="10.0" style="5"/>
    <col min="5070" max="5070" customWidth="1" bestFit="1" width="10.0" style="5"/>
    <col min="5071" max="5071" customWidth="1" bestFit="1" width="10.0" style="5"/>
    <col min="5072" max="5072" customWidth="1" bestFit="1" width="10.0" style="5"/>
    <col min="5073" max="5073" customWidth="1" bestFit="1" width="10.0" style="5"/>
    <col min="5074" max="5074" customWidth="1" bestFit="1" width="10.0" style="5"/>
    <col min="5075" max="5075" customWidth="1" bestFit="1" width="10.0" style="5"/>
    <col min="5076" max="5076" customWidth="1" bestFit="1" width="10.0" style="5"/>
    <col min="5077" max="5077" customWidth="1" bestFit="1" width="10.0" style="5"/>
    <col min="5078" max="5078" customWidth="1" bestFit="1" width="10.0" style="5"/>
    <col min="5079" max="5079" customWidth="1" bestFit="1" width="10.0" style="5"/>
    <col min="5080" max="5080" customWidth="1" bestFit="1" width="10.0" style="5"/>
    <col min="5081" max="5081" customWidth="1" bestFit="1" width="10.0" style="5"/>
    <col min="5082" max="5082" customWidth="1" bestFit="1" width="10.0" style="5"/>
    <col min="5083" max="5083" customWidth="1" bestFit="1" width="10.0" style="5"/>
    <col min="5084" max="5084" customWidth="1" bestFit="1" width="10.0" style="5"/>
    <col min="5085" max="5085" customWidth="1" bestFit="1" width="10.0" style="5"/>
    <col min="5086" max="5086" customWidth="1" bestFit="1" width="10.0" style="5"/>
    <col min="5087" max="5087" customWidth="1" bestFit="1" width="10.0" style="5"/>
    <col min="5088" max="5088" customWidth="1" bestFit="1" width="10.0" style="5"/>
    <col min="5089" max="5089" customWidth="1" bestFit="1" width="10.0" style="5"/>
    <col min="5090" max="5090" customWidth="1" bestFit="1" width="10.0" style="5"/>
    <col min="5091" max="5091" customWidth="1" bestFit="1" width="10.0" style="5"/>
    <col min="5092" max="5092" customWidth="1" bestFit="1" width="10.0" style="5"/>
    <col min="5093" max="5093" customWidth="1" bestFit="1" width="10.0" style="5"/>
    <col min="5094" max="5094" customWidth="1" bestFit="1" width="10.0" style="5"/>
    <col min="5095" max="5095" customWidth="1" bestFit="1" width="10.0" style="5"/>
    <col min="5096" max="5096" customWidth="1" bestFit="1" width="10.0" style="5"/>
    <col min="5097" max="5097" customWidth="1" bestFit="1" width="10.0" style="5"/>
    <col min="5098" max="5098" customWidth="1" bestFit="1" width="10.0" style="5"/>
    <col min="5099" max="5099" customWidth="1" bestFit="1" width="10.0" style="5"/>
    <col min="5100" max="5100" customWidth="1" bestFit="1" width="10.0" style="5"/>
    <col min="5101" max="5101" customWidth="1" bestFit="1" width="10.0" style="5"/>
    <col min="5102" max="5102" customWidth="1" bestFit="1" width="10.0" style="5"/>
    <col min="5103" max="5103" customWidth="1" bestFit="1" width="10.0" style="5"/>
    <col min="5104" max="5104" customWidth="1" bestFit="1" width="10.0" style="5"/>
    <col min="5105" max="5105" customWidth="1" bestFit="1" width="10.0" style="5"/>
    <col min="5106" max="5106" customWidth="1" bestFit="1" width="10.0" style="5"/>
    <col min="5107" max="5107" customWidth="1" bestFit="1" width="10.0" style="5"/>
    <col min="5108" max="5108" customWidth="1" bestFit="1" width="10.0" style="5"/>
    <col min="5109" max="5109" customWidth="1" bestFit="1" width="10.0" style="5"/>
    <col min="5110" max="5110" customWidth="1" bestFit="1" width="10.0" style="5"/>
    <col min="5111" max="5111" customWidth="1" bestFit="1" width="10.0" style="5"/>
    <col min="5112" max="5112" customWidth="1" bestFit="1" width="10.0" style="5"/>
    <col min="5113" max="5113" customWidth="1" bestFit="1" width="10.0" style="5"/>
    <col min="5114" max="5114" customWidth="1" bestFit="1" width="10.0" style="5"/>
    <col min="5115" max="5115" customWidth="1" bestFit="1" width="10.0" style="5"/>
    <col min="5116" max="5116" customWidth="1" bestFit="1" width="10.0" style="5"/>
    <col min="5117" max="5117" customWidth="1" bestFit="1" width="10.0" style="5"/>
    <col min="5118" max="5118" customWidth="1" bestFit="1" width="10.0" style="5"/>
    <col min="5119" max="5119" customWidth="1" bestFit="1" width="10.0" style="5"/>
    <col min="5120" max="5120" customWidth="1" bestFit="1" width="10.0" style="5"/>
    <col min="5121" max="5121" customWidth="1" bestFit="1" width="10.0" style="5"/>
    <col min="5122" max="5122" customWidth="1" bestFit="1" width="10.0" style="5"/>
    <col min="5123" max="5123" customWidth="1" bestFit="1" width="10.0" style="5"/>
    <col min="5124" max="5124" customWidth="1" bestFit="1" width="10.0" style="5"/>
    <col min="5125" max="5125" customWidth="1" bestFit="1" width="10.0" style="5"/>
    <col min="5126" max="5126" customWidth="1" bestFit="1" width="10.0" style="5"/>
    <col min="5127" max="5127" customWidth="1" bestFit="1" width="10.0" style="5"/>
    <col min="5128" max="5128" customWidth="1" bestFit="1" width="10.0" style="5"/>
    <col min="5129" max="5129" customWidth="1" bestFit="1" width="10.0" style="5"/>
    <col min="5130" max="5130" customWidth="1" bestFit="1" width="10.0" style="5"/>
    <col min="5131" max="5131" customWidth="1" bestFit="1" width="10.0" style="5"/>
    <col min="5132" max="5132" customWidth="1" bestFit="1" width="10.0" style="5"/>
    <col min="5133" max="5133" customWidth="1" bestFit="1" width="10.0" style="5"/>
    <col min="5134" max="5134" customWidth="1" bestFit="1" width="10.0" style="5"/>
    <col min="5135" max="5135" customWidth="1" bestFit="1" width="10.0" style="5"/>
    <col min="5136" max="5136" customWidth="1" bestFit="1" width="10.0" style="5"/>
    <col min="5137" max="5137" customWidth="1" bestFit="1" width="10.0" style="5"/>
    <col min="5138" max="5138" customWidth="1" bestFit="1" width="10.0" style="5"/>
    <col min="5139" max="5139" customWidth="1" bestFit="1" width="10.0" style="5"/>
    <col min="5140" max="5140" customWidth="1" bestFit="1" width="10.0" style="5"/>
    <col min="5141" max="5141" customWidth="1" bestFit="1" width="10.0" style="5"/>
    <col min="5142" max="5142" customWidth="1" bestFit="1" width="10.0" style="5"/>
    <col min="5143" max="5143" customWidth="1" bestFit="1" width="10.0" style="5"/>
    <col min="5144" max="5144" customWidth="1" bestFit="1" width="10.0" style="5"/>
    <col min="5145" max="5145" customWidth="1" bestFit="1" width="10.0" style="5"/>
    <col min="5146" max="5146" customWidth="1" bestFit="1" width="10.0" style="5"/>
    <col min="5147" max="5147" customWidth="1" bestFit="1" width="10.0" style="5"/>
    <col min="5148" max="5148" customWidth="1" bestFit="1" width="10.0" style="5"/>
    <col min="5149" max="5149" customWidth="1" bestFit="1" width="10.0" style="5"/>
    <col min="5150" max="5150" customWidth="1" bestFit="1" width="10.0" style="5"/>
    <col min="5151" max="5151" customWidth="1" bestFit="1" width="10.0" style="5"/>
    <col min="5152" max="5152" customWidth="1" bestFit="1" width="10.0" style="5"/>
    <col min="5153" max="5153" customWidth="1" bestFit="1" width="10.0" style="5"/>
    <col min="5154" max="5154" customWidth="1" bestFit="1" width="10.0" style="5"/>
    <col min="5155" max="5155" customWidth="1" bestFit="1" width="10.0" style="5"/>
    <col min="5156" max="5156" customWidth="1" bestFit="1" width="10.0" style="5"/>
    <col min="5157" max="5157" customWidth="1" bestFit="1" width="10.0" style="5"/>
    <col min="5158" max="5158" customWidth="1" bestFit="1" width="10.0" style="5"/>
    <col min="5159" max="5159" customWidth="1" bestFit="1" width="10.0" style="5"/>
    <col min="5160" max="5160" customWidth="1" bestFit="1" width="10.0" style="5"/>
    <col min="5161" max="5161" customWidth="1" bestFit="1" width="10.0" style="5"/>
    <col min="5162" max="5162" customWidth="1" bestFit="1" width="10.0" style="5"/>
    <col min="5163" max="5163" customWidth="1" bestFit="1" width="10.0" style="5"/>
    <col min="5164" max="5164" customWidth="1" bestFit="1" width="10.0" style="5"/>
    <col min="5165" max="5165" customWidth="1" bestFit="1" width="10.0" style="5"/>
    <col min="5166" max="5166" customWidth="1" bestFit="1" width="10.0" style="5"/>
    <col min="5167" max="5167" customWidth="1" bestFit="1" width="10.0" style="5"/>
    <col min="5168" max="5168" customWidth="1" bestFit="1" width="10.0" style="5"/>
    <col min="5169" max="5169" customWidth="1" bestFit="1" width="10.0" style="5"/>
    <col min="5170" max="5170" customWidth="1" bestFit="1" width="10.0" style="5"/>
    <col min="5171" max="5171" customWidth="1" bestFit="1" width="10.0" style="5"/>
    <col min="5172" max="5172" customWidth="1" bestFit="1" width="10.0" style="5"/>
    <col min="5173" max="5173" customWidth="1" bestFit="1" width="10.0" style="5"/>
    <col min="5174" max="5174" customWidth="1" bestFit="1" width="10.0" style="5"/>
    <col min="5175" max="5175" customWidth="1" bestFit="1" width="10.0" style="5"/>
    <col min="5176" max="5176" customWidth="1" bestFit="1" width="10.0" style="5"/>
    <col min="5177" max="5177" customWidth="1" bestFit="1" width="10.0" style="5"/>
    <col min="5178" max="5178" customWidth="1" bestFit="1" width="10.0" style="5"/>
    <col min="5179" max="5179" customWidth="1" bestFit="1" width="10.0" style="5"/>
    <col min="5180" max="5180" customWidth="1" bestFit="1" width="10.0" style="5"/>
    <col min="5181" max="5181" customWidth="1" bestFit="1" width="10.0" style="5"/>
    <col min="5182" max="5182" customWidth="1" bestFit="1" width="10.0" style="5"/>
    <col min="5183" max="5183" customWidth="1" bestFit="1" width="10.0" style="5"/>
    <col min="5184" max="5184" customWidth="1" bestFit="1" width="10.0" style="5"/>
    <col min="5185" max="5185" customWidth="1" bestFit="1" width="10.0" style="5"/>
    <col min="5186" max="5186" customWidth="1" bestFit="1" width="10.0" style="5"/>
    <col min="5187" max="5187" customWidth="1" bestFit="1" width="10.0" style="5"/>
    <col min="5188" max="5188" customWidth="1" bestFit="1" width="10.0" style="5"/>
    <col min="5189" max="5189" customWidth="1" bestFit="1" width="10.0" style="5"/>
    <col min="5190" max="5190" customWidth="1" bestFit="1" width="10.0" style="5"/>
    <col min="5191" max="5191" customWidth="1" bestFit="1" width="10.0" style="5"/>
    <col min="5192" max="5192" customWidth="1" bestFit="1" width="10.0" style="5"/>
    <col min="5193" max="5193" customWidth="1" bestFit="1" width="10.0" style="5"/>
    <col min="5194" max="5194" customWidth="1" bestFit="1" width="10.0" style="5"/>
    <col min="5195" max="5195" customWidth="1" bestFit="1" width="10.0" style="5"/>
    <col min="5196" max="5196" customWidth="1" bestFit="1" width="10.0" style="5"/>
    <col min="5197" max="5197" customWidth="1" bestFit="1" width="10.0" style="5"/>
    <col min="5198" max="5198" customWidth="1" bestFit="1" width="10.0" style="5"/>
    <col min="5199" max="5199" customWidth="1" bestFit="1" width="10.0" style="5"/>
    <col min="5200" max="5200" customWidth="1" bestFit="1" width="10.0" style="5"/>
    <col min="5201" max="5201" customWidth="1" bestFit="1" width="10.0" style="5"/>
    <col min="5202" max="5202" customWidth="1" bestFit="1" width="10.0" style="5"/>
    <col min="5203" max="5203" customWidth="1" bestFit="1" width="10.0" style="5"/>
    <col min="5204" max="5204" customWidth="1" bestFit="1" width="10.0" style="5"/>
    <col min="5205" max="5205" customWidth="1" bestFit="1" width="10.0" style="5"/>
    <col min="5206" max="5206" customWidth="1" bestFit="1" width="10.0" style="5"/>
    <col min="5207" max="5207" customWidth="1" bestFit="1" width="10.0" style="5"/>
    <col min="5208" max="5208" customWidth="1" bestFit="1" width="10.0" style="5"/>
    <col min="5209" max="5209" customWidth="1" bestFit="1" width="10.0" style="5"/>
    <col min="5210" max="5210" customWidth="1" bestFit="1" width="10.0" style="5"/>
    <col min="5211" max="5211" customWidth="1" bestFit="1" width="10.0" style="5"/>
    <col min="5212" max="5212" customWidth="1" bestFit="1" width="10.0" style="5"/>
    <col min="5213" max="5213" customWidth="1" bestFit="1" width="10.0" style="5"/>
    <col min="5214" max="5214" customWidth="1" bestFit="1" width="10.0" style="5"/>
    <col min="5215" max="5215" customWidth="1" bestFit="1" width="10.0" style="5"/>
    <col min="5216" max="5216" customWidth="1" bestFit="1" width="10.0" style="5"/>
    <col min="5217" max="5217" customWidth="1" bestFit="1" width="10.0" style="5"/>
    <col min="5218" max="5218" customWidth="1" bestFit="1" width="10.0" style="5"/>
    <col min="5219" max="5219" customWidth="1" bestFit="1" width="10.0" style="5"/>
    <col min="5220" max="5220" customWidth="1" bestFit="1" width="10.0" style="5"/>
    <col min="5221" max="5221" customWidth="1" bestFit="1" width="10.0" style="5"/>
    <col min="5222" max="5222" customWidth="1" bestFit="1" width="10.0" style="5"/>
    <col min="5223" max="5223" customWidth="1" bestFit="1" width="10.0" style="5"/>
    <col min="5224" max="5224" customWidth="1" bestFit="1" width="10.0" style="5"/>
    <col min="5225" max="5225" customWidth="1" bestFit="1" width="10.0" style="5"/>
    <col min="5226" max="5226" customWidth="1" bestFit="1" width="10.0" style="5"/>
    <col min="5227" max="5227" customWidth="1" bestFit="1" width="10.0" style="5"/>
    <col min="5228" max="5228" customWidth="1" bestFit="1" width="10.0" style="5"/>
    <col min="5229" max="5229" customWidth="1" bestFit="1" width="10.0" style="5"/>
    <col min="5230" max="5230" customWidth="1" bestFit="1" width="10.0" style="5"/>
    <col min="5231" max="5231" customWidth="1" bestFit="1" width="10.0" style="5"/>
    <col min="5232" max="5232" customWidth="1" bestFit="1" width="10.0" style="5"/>
    <col min="5233" max="5233" customWidth="1" bestFit="1" width="10.0" style="5"/>
    <col min="5234" max="5234" customWidth="1" bestFit="1" width="10.0" style="5"/>
    <col min="5235" max="5235" customWidth="1" bestFit="1" width="10.0" style="5"/>
    <col min="5236" max="5236" customWidth="1" bestFit="1" width="10.0" style="5"/>
    <col min="5237" max="5237" customWidth="1" bestFit="1" width="10.0" style="5"/>
    <col min="5238" max="5238" customWidth="1" bestFit="1" width="10.0" style="5"/>
    <col min="5239" max="5239" customWidth="1" bestFit="1" width="10.0" style="5"/>
    <col min="5240" max="5240" customWidth="1" bestFit="1" width="10.0" style="5"/>
    <col min="5241" max="5241" customWidth="1" bestFit="1" width="10.0" style="5"/>
    <col min="5242" max="5242" customWidth="1" bestFit="1" width="10.0" style="5"/>
    <col min="5243" max="5243" customWidth="1" bestFit="1" width="10.0" style="5"/>
    <col min="5244" max="5244" customWidth="1" bestFit="1" width="10.0" style="5"/>
    <col min="5245" max="5245" customWidth="1" bestFit="1" width="10.0" style="5"/>
    <col min="5246" max="5246" customWidth="1" bestFit="1" width="10.0" style="5"/>
    <col min="5247" max="5247" customWidth="1" bestFit="1" width="10.0" style="5"/>
    <col min="5248" max="5248" customWidth="1" bestFit="1" width="10.0" style="5"/>
    <col min="5249" max="5249" customWidth="1" bestFit="1" width="10.0" style="5"/>
    <col min="5250" max="5250" customWidth="1" bestFit="1" width="10.0" style="5"/>
    <col min="5251" max="5251" customWidth="1" bestFit="1" width="10.0" style="5"/>
    <col min="5252" max="5252" customWidth="1" bestFit="1" width="10.0" style="5"/>
    <col min="5253" max="5253" customWidth="1" bestFit="1" width="10.0" style="5"/>
    <col min="5254" max="5254" customWidth="1" bestFit="1" width="10.0" style="5"/>
    <col min="5255" max="5255" customWidth="1" bestFit="1" width="10.0" style="5"/>
    <col min="5256" max="5256" customWidth="1" bestFit="1" width="10.0" style="5"/>
    <col min="5257" max="5257" customWidth="1" bestFit="1" width="10.0" style="5"/>
    <col min="5258" max="5258" customWidth="1" bestFit="1" width="10.0" style="5"/>
    <col min="5259" max="5259" customWidth="1" bestFit="1" width="10.0" style="5"/>
    <col min="5260" max="5260" customWidth="1" bestFit="1" width="10.0" style="5"/>
    <col min="5261" max="5261" customWidth="1" bestFit="1" width="10.0" style="5"/>
    <col min="5262" max="5262" customWidth="1" bestFit="1" width="10.0" style="5"/>
    <col min="5263" max="5263" customWidth="1" bestFit="1" width="10.0" style="5"/>
    <col min="5264" max="5264" customWidth="1" bestFit="1" width="10.0" style="5"/>
    <col min="5265" max="5265" customWidth="1" bestFit="1" width="10.0" style="5"/>
    <col min="5266" max="5266" customWidth="1" bestFit="1" width="10.0" style="5"/>
    <col min="5267" max="5267" customWidth="1" bestFit="1" width="10.0" style="5"/>
    <col min="5268" max="5268" customWidth="1" bestFit="1" width="10.0" style="5"/>
    <col min="5269" max="5269" customWidth="1" bestFit="1" width="10.0" style="5"/>
    <col min="5270" max="5270" customWidth="1" bestFit="1" width="10.0" style="5"/>
    <col min="5271" max="5271" customWidth="1" bestFit="1" width="10.0" style="5"/>
    <col min="5272" max="5272" customWidth="1" bestFit="1" width="10.0" style="5"/>
    <col min="5273" max="5273" customWidth="1" bestFit="1" width="10.0" style="5"/>
    <col min="5274" max="5274" customWidth="1" bestFit="1" width="10.0" style="5"/>
    <col min="5275" max="5275" customWidth="1" bestFit="1" width="10.0" style="5"/>
    <col min="5276" max="5276" customWidth="1" bestFit="1" width="10.0" style="5"/>
    <col min="5277" max="5277" customWidth="1" bestFit="1" width="10.0" style="5"/>
    <col min="5278" max="5278" customWidth="1" bestFit="1" width="10.0" style="5"/>
    <col min="5279" max="5279" customWidth="1" bestFit="1" width="10.0" style="5"/>
    <col min="5280" max="5280" customWidth="1" bestFit="1" width="10.0" style="5"/>
    <col min="5281" max="5281" customWidth="1" bestFit="1" width="10.0" style="5"/>
    <col min="5282" max="5282" customWidth="1" bestFit="1" width="10.0" style="5"/>
    <col min="5283" max="5283" customWidth="1" bestFit="1" width="10.0" style="5"/>
    <col min="5284" max="5284" customWidth="1" bestFit="1" width="10.0" style="5"/>
    <col min="5285" max="5285" customWidth="1" bestFit="1" width="10.0" style="5"/>
    <col min="5286" max="5286" customWidth="1" bestFit="1" width="10.0" style="5"/>
    <col min="5287" max="5287" customWidth="1" bestFit="1" width="10.0" style="5"/>
    <col min="5288" max="5288" customWidth="1" bestFit="1" width="10.0" style="5"/>
    <col min="5289" max="5289" customWidth="1" bestFit="1" width="10.0" style="5"/>
    <col min="5290" max="5290" customWidth="1" bestFit="1" width="10.0" style="5"/>
    <col min="5291" max="5291" customWidth="1" bestFit="1" width="10.0" style="5"/>
    <col min="5292" max="5292" customWidth="1" bestFit="1" width="10.0" style="5"/>
    <col min="5293" max="5293" customWidth="1" bestFit="1" width="10.0" style="5"/>
    <col min="5294" max="5294" customWidth="1" bestFit="1" width="10.0" style="5"/>
    <col min="5295" max="5295" customWidth="1" bestFit="1" width="10.0" style="5"/>
    <col min="5296" max="5296" customWidth="1" bestFit="1" width="10.0" style="5"/>
    <col min="5297" max="5297" customWidth="1" bestFit="1" width="10.0" style="5"/>
    <col min="5298" max="5298" customWidth="1" bestFit="1" width="10.0" style="5"/>
    <col min="5299" max="5299" customWidth="1" bestFit="1" width="10.0" style="5"/>
    <col min="5300" max="5300" customWidth="1" bestFit="1" width="10.0" style="5"/>
    <col min="5301" max="5301" customWidth="1" bestFit="1" width="10.0" style="5"/>
    <col min="5302" max="5302" customWidth="1" bestFit="1" width="10.0" style="5"/>
    <col min="5303" max="5303" customWidth="1" bestFit="1" width="10.0" style="5"/>
    <col min="5304" max="5304" customWidth="1" bestFit="1" width="10.0" style="5"/>
    <col min="5305" max="5305" customWidth="1" bestFit="1" width="10.0" style="5"/>
    <col min="5306" max="5306" customWidth="1" bestFit="1" width="10.0" style="5"/>
    <col min="5307" max="5307" customWidth="1" bestFit="1" width="10.0" style="5"/>
    <col min="5308" max="5308" customWidth="1" bestFit="1" width="10.0" style="5"/>
    <col min="5309" max="5309" customWidth="1" bestFit="1" width="10.0" style="5"/>
    <col min="5310" max="5310" customWidth="1" bestFit="1" width="10.0" style="5"/>
    <col min="5311" max="5311" customWidth="1" bestFit="1" width="10.0" style="5"/>
    <col min="5312" max="5312" customWidth="1" bestFit="1" width="10.0" style="5"/>
    <col min="5313" max="5313" customWidth="1" bestFit="1" width="10.0" style="5"/>
    <col min="5314" max="5314" customWidth="1" bestFit="1" width="10.0" style="5"/>
    <col min="5315" max="5315" customWidth="1" bestFit="1" width="10.0" style="5"/>
    <col min="5316" max="5316" customWidth="1" bestFit="1" width="10.0" style="5"/>
    <col min="5317" max="5317" customWidth="1" bestFit="1" width="10.0" style="5"/>
    <col min="5318" max="5318" customWidth="1" bestFit="1" width="10.0" style="5"/>
    <col min="5319" max="5319" customWidth="1" bestFit="1" width="10.0" style="5"/>
    <col min="5320" max="5320" customWidth="1" bestFit="1" width="10.0" style="5"/>
    <col min="5321" max="5321" customWidth="1" bestFit="1" width="10.0" style="5"/>
    <col min="5322" max="5322" customWidth="1" bestFit="1" width="10.0" style="5"/>
    <col min="5323" max="5323" customWidth="1" bestFit="1" width="10.0" style="5"/>
    <col min="5324" max="5324" customWidth="1" bestFit="1" width="10.0" style="5"/>
    <col min="5325" max="5325" customWidth="1" bestFit="1" width="10.0" style="5"/>
    <col min="5326" max="5326" customWidth="1" bestFit="1" width="10.0" style="5"/>
    <col min="5327" max="5327" customWidth="1" bestFit="1" width="10.0" style="5"/>
    <col min="5328" max="5328" customWidth="1" bestFit="1" width="10.0" style="5"/>
    <col min="5329" max="5329" customWidth="1" bestFit="1" width="10.0" style="5"/>
    <col min="5330" max="5330" customWidth="1" bestFit="1" width="10.0" style="5"/>
    <col min="5331" max="5331" customWidth="1" bestFit="1" width="10.0" style="5"/>
    <col min="5332" max="5332" customWidth="1" bestFit="1" width="10.0" style="5"/>
    <col min="5333" max="5333" customWidth="1" bestFit="1" width="10.0" style="5"/>
    <col min="5334" max="5334" customWidth="1" bestFit="1" width="10.0" style="5"/>
    <col min="5335" max="5335" customWidth="1" bestFit="1" width="10.0" style="5"/>
    <col min="5336" max="5336" customWidth="1" bestFit="1" width="10.0" style="5"/>
    <col min="5337" max="5337" customWidth="1" bestFit="1" width="10.0" style="5"/>
    <col min="5338" max="5338" customWidth="1" bestFit="1" width="10.0" style="5"/>
    <col min="5339" max="5339" customWidth="1" bestFit="1" width="10.0" style="5"/>
    <col min="5340" max="5340" customWidth="1" bestFit="1" width="10.0" style="5"/>
    <col min="5341" max="5341" customWidth="1" bestFit="1" width="10.0" style="5"/>
    <col min="5342" max="5342" customWidth="1" bestFit="1" width="10.0" style="5"/>
    <col min="5343" max="5343" customWidth="1" bestFit="1" width="10.0" style="5"/>
    <col min="5344" max="5344" customWidth="1" bestFit="1" width="10.0" style="5"/>
    <col min="5345" max="5345" customWidth="1" bestFit="1" width="10.0" style="5"/>
    <col min="5346" max="5346" customWidth="1" bestFit="1" width="10.0" style="5"/>
    <col min="5347" max="5347" customWidth="1" bestFit="1" width="10.0" style="5"/>
    <col min="5348" max="5348" customWidth="1" bestFit="1" width="10.0" style="5"/>
    <col min="5349" max="5349" customWidth="1" bestFit="1" width="10.0" style="5"/>
    <col min="5350" max="5350" customWidth="1" bestFit="1" width="10.0" style="5"/>
    <col min="5351" max="5351" customWidth="1" bestFit="1" width="10.0" style="5"/>
    <col min="5352" max="5352" customWidth="1" bestFit="1" width="10.0" style="5"/>
    <col min="5353" max="5353" customWidth="1" bestFit="1" width="10.0" style="5"/>
    <col min="5354" max="5354" customWidth="1" bestFit="1" width="10.0" style="5"/>
    <col min="5355" max="5355" customWidth="1" bestFit="1" width="10.0" style="5"/>
    <col min="5356" max="5356" customWidth="1" bestFit="1" width="10.0" style="5"/>
    <col min="5357" max="5357" customWidth="1" bestFit="1" width="10.0" style="5"/>
    <col min="5358" max="5358" customWidth="1" bestFit="1" width="10.0" style="5"/>
    <col min="5359" max="5359" customWidth="1" bestFit="1" width="10.0" style="5"/>
    <col min="5360" max="5360" customWidth="1" bestFit="1" width="10.0" style="5"/>
    <col min="5361" max="5361" customWidth="1" bestFit="1" width="10.0" style="5"/>
    <col min="5362" max="5362" customWidth="1" bestFit="1" width="10.0" style="5"/>
    <col min="5363" max="5363" customWidth="1" bestFit="1" width="10.0" style="5"/>
    <col min="5364" max="5364" customWidth="1" bestFit="1" width="10.0" style="5"/>
    <col min="5365" max="5365" customWidth="1" bestFit="1" width="10.0" style="5"/>
    <col min="5366" max="5366" customWidth="1" bestFit="1" width="10.0" style="5"/>
    <col min="5367" max="5367" customWidth="1" bestFit="1" width="10.0" style="5"/>
    <col min="5368" max="5368" customWidth="1" bestFit="1" width="10.0" style="5"/>
    <col min="5369" max="5369" customWidth="1" bestFit="1" width="10.0" style="5"/>
    <col min="5370" max="5370" customWidth="1" bestFit="1" width="10.0" style="5"/>
    <col min="5371" max="5371" customWidth="1" bestFit="1" width="10.0" style="5"/>
    <col min="5372" max="5372" customWidth="1" bestFit="1" width="10.0" style="5"/>
    <col min="5373" max="5373" customWidth="1" bestFit="1" width="10.0" style="5"/>
    <col min="5374" max="5374" customWidth="1" bestFit="1" width="10.0" style="5"/>
    <col min="5375" max="5375" customWidth="1" bestFit="1" width="10.0" style="5"/>
    <col min="5376" max="5376" customWidth="1" bestFit="1" width="10.0" style="5"/>
    <col min="5377" max="5377" customWidth="1" bestFit="1" width="10.0" style="5"/>
    <col min="5378" max="5378" customWidth="1" bestFit="1" width="10.0" style="5"/>
    <col min="5379" max="5379" customWidth="1" bestFit="1" width="10.0" style="5"/>
    <col min="5380" max="5380" customWidth="1" bestFit="1" width="10.0" style="5"/>
    <col min="5381" max="5381" customWidth="1" bestFit="1" width="10.0" style="5"/>
    <col min="5382" max="5382" customWidth="1" bestFit="1" width="10.0" style="5"/>
    <col min="5383" max="5383" customWidth="1" bestFit="1" width="10.0" style="5"/>
    <col min="5384" max="5384" customWidth="1" bestFit="1" width="10.0" style="5"/>
    <col min="5385" max="5385" customWidth="1" bestFit="1" width="10.0" style="5"/>
    <col min="5386" max="5386" customWidth="1" bestFit="1" width="10.0" style="5"/>
    <col min="5387" max="5387" customWidth="1" bestFit="1" width="10.0" style="5"/>
    <col min="5388" max="5388" customWidth="1" bestFit="1" width="10.0" style="5"/>
    <col min="5389" max="5389" customWidth="1" bestFit="1" width="10.0" style="5"/>
    <col min="5390" max="5390" customWidth="1" bestFit="1" width="10.0" style="5"/>
    <col min="5391" max="5391" customWidth="1" bestFit="1" width="10.0" style="5"/>
    <col min="5392" max="5392" customWidth="1" bestFit="1" width="10.0" style="5"/>
    <col min="5393" max="5393" customWidth="1" bestFit="1" width="10.0" style="5"/>
    <col min="5394" max="5394" customWidth="1" bestFit="1" width="10.0" style="5"/>
    <col min="5395" max="5395" customWidth="1" bestFit="1" width="10.0" style="5"/>
    <col min="5396" max="5396" customWidth="1" bestFit="1" width="10.0" style="5"/>
    <col min="5397" max="5397" customWidth="1" bestFit="1" width="10.0" style="5"/>
    <col min="5398" max="5398" customWidth="1" bestFit="1" width="10.0" style="5"/>
    <col min="5399" max="5399" customWidth="1" bestFit="1" width="10.0" style="5"/>
    <col min="5400" max="5400" customWidth="1" bestFit="1" width="10.0" style="5"/>
    <col min="5401" max="5401" customWidth="1" bestFit="1" width="10.0" style="5"/>
    <col min="5402" max="5402" customWidth="1" bestFit="1" width="10.0" style="5"/>
    <col min="5403" max="5403" customWidth="1" bestFit="1" width="10.0" style="5"/>
    <col min="5404" max="5404" customWidth="1" bestFit="1" width="10.0" style="5"/>
    <col min="5405" max="5405" customWidth="1" bestFit="1" width="10.0" style="5"/>
    <col min="5406" max="5406" customWidth="1" bestFit="1" width="10.0" style="5"/>
    <col min="5407" max="5407" customWidth="1" bestFit="1" width="10.0" style="5"/>
    <col min="5408" max="5408" customWidth="1" bestFit="1" width="10.0" style="5"/>
    <col min="5409" max="5409" customWidth="1" bestFit="1" width="10.0" style="5"/>
    <col min="5410" max="5410" customWidth="1" bestFit="1" width="10.0" style="5"/>
    <col min="5411" max="5411" customWidth="1" bestFit="1" width="10.0" style="5"/>
    <col min="5412" max="5412" customWidth="1" bestFit="1" width="10.0" style="5"/>
    <col min="5413" max="5413" customWidth="1" bestFit="1" width="10.0" style="5"/>
    <col min="5414" max="5414" customWidth="1" bestFit="1" width="10.0" style="5"/>
    <col min="5415" max="5415" customWidth="1" bestFit="1" width="10.0" style="5"/>
    <col min="5416" max="5416" customWidth="1" bestFit="1" width="10.0" style="5"/>
    <col min="5417" max="5417" customWidth="1" bestFit="1" width="10.0" style="5"/>
    <col min="5418" max="5418" customWidth="1" bestFit="1" width="10.0" style="5"/>
    <col min="5419" max="5419" customWidth="1" bestFit="1" width="10.0" style="5"/>
    <col min="5420" max="5420" customWidth="1" bestFit="1" width="10.0" style="5"/>
    <col min="5421" max="5421" customWidth="1" bestFit="1" width="10.0" style="5"/>
    <col min="5422" max="5422" customWidth="1" bestFit="1" width="10.0" style="5"/>
    <col min="5423" max="5423" customWidth="1" bestFit="1" width="10.0" style="5"/>
    <col min="5424" max="5424" customWidth="1" bestFit="1" width="10.0" style="5"/>
    <col min="5425" max="5425" customWidth="1" bestFit="1" width="10.0" style="5"/>
    <col min="5426" max="5426" customWidth="1" bestFit="1" width="10.0" style="5"/>
    <col min="5427" max="5427" customWidth="1" bestFit="1" width="10.0" style="5"/>
    <col min="5428" max="5428" customWidth="1" bestFit="1" width="10.0" style="5"/>
    <col min="5429" max="5429" customWidth="1" bestFit="1" width="10.0" style="5"/>
    <col min="5430" max="5430" customWidth="1" bestFit="1" width="10.0" style="5"/>
    <col min="5431" max="5431" customWidth="1" bestFit="1" width="10.0" style="5"/>
    <col min="5432" max="5432" customWidth="1" bestFit="1" width="10.0" style="5"/>
    <col min="5433" max="5433" customWidth="1" bestFit="1" width="10.0" style="5"/>
    <col min="5434" max="5434" customWidth="1" bestFit="1" width="10.0" style="5"/>
    <col min="5435" max="5435" customWidth="1" bestFit="1" width="10.0" style="5"/>
    <col min="5436" max="5436" customWidth="1" bestFit="1" width="10.0" style="5"/>
    <col min="5437" max="5437" customWidth="1" bestFit="1" width="10.0" style="5"/>
    <col min="5438" max="5438" customWidth="1" bestFit="1" width="10.0" style="5"/>
    <col min="5439" max="5439" customWidth="1" bestFit="1" width="10.0" style="5"/>
    <col min="5440" max="5440" customWidth="1" bestFit="1" width="10.0" style="5"/>
    <col min="5441" max="5441" customWidth="1" bestFit="1" width="10.0" style="5"/>
    <col min="5442" max="5442" customWidth="1" bestFit="1" width="10.0" style="5"/>
    <col min="5443" max="5443" customWidth="1" bestFit="1" width="10.0" style="5"/>
    <col min="5444" max="5444" customWidth="1" bestFit="1" width="10.0" style="5"/>
    <col min="5445" max="5445" customWidth="1" bestFit="1" width="10.0" style="5"/>
    <col min="5446" max="5446" customWidth="1" bestFit="1" width="10.0" style="5"/>
    <col min="5447" max="5447" customWidth="1" bestFit="1" width="10.0" style="5"/>
    <col min="5448" max="5448" customWidth="1" bestFit="1" width="10.0" style="5"/>
    <col min="5449" max="5449" customWidth="1" bestFit="1" width="10.0" style="5"/>
    <col min="5450" max="5450" customWidth="1" bestFit="1" width="10.0" style="5"/>
    <col min="5451" max="5451" customWidth="1" bestFit="1" width="10.0" style="5"/>
    <col min="5452" max="5452" customWidth="1" bestFit="1" width="10.0" style="5"/>
    <col min="5453" max="5453" customWidth="1" bestFit="1" width="10.0" style="5"/>
    <col min="5454" max="5454" customWidth="1" bestFit="1" width="10.0" style="5"/>
    <col min="5455" max="5455" customWidth="1" bestFit="1" width="10.0" style="5"/>
    <col min="5456" max="5456" customWidth="1" bestFit="1" width="10.0" style="5"/>
    <col min="5457" max="5457" customWidth="1" bestFit="1" width="10.0" style="5"/>
    <col min="5458" max="5458" customWidth="1" bestFit="1" width="10.0" style="5"/>
    <col min="5459" max="5459" customWidth="1" bestFit="1" width="10.0" style="5"/>
    <col min="5460" max="5460" customWidth="1" bestFit="1" width="10.0" style="5"/>
    <col min="5461" max="5461" customWidth="1" bestFit="1" width="10.0" style="5"/>
    <col min="5462" max="5462" customWidth="1" bestFit="1" width="10.0" style="5"/>
    <col min="5463" max="5463" customWidth="1" bestFit="1" width="10.0" style="5"/>
    <col min="5464" max="5464" customWidth="1" bestFit="1" width="10.0" style="5"/>
    <col min="5465" max="5465" customWidth="1" bestFit="1" width="10.0" style="5"/>
    <col min="5466" max="5466" customWidth="1" bestFit="1" width="10.0" style="5"/>
    <col min="5467" max="5467" customWidth="1" bestFit="1" width="10.0" style="5"/>
    <col min="5468" max="5468" customWidth="1" bestFit="1" width="10.0" style="5"/>
    <col min="5469" max="5469" customWidth="1" bestFit="1" width="10.0" style="5"/>
    <col min="5470" max="5470" customWidth="1" bestFit="1" width="10.0" style="5"/>
    <col min="5471" max="5471" customWidth="1" bestFit="1" width="10.0" style="5"/>
    <col min="5472" max="5472" customWidth="1" bestFit="1" width="10.0" style="5"/>
    <col min="5473" max="5473" customWidth="1" bestFit="1" width="10.0" style="5"/>
    <col min="5474" max="5474" customWidth="1" bestFit="1" width="10.0" style="5"/>
    <col min="5475" max="5475" customWidth="1" bestFit="1" width="10.0" style="5"/>
    <col min="5476" max="5476" customWidth="1" bestFit="1" width="10.0" style="5"/>
    <col min="5477" max="5477" customWidth="1" bestFit="1" width="10.0" style="5"/>
    <col min="5478" max="5478" customWidth="1" bestFit="1" width="10.0" style="5"/>
    <col min="5479" max="5479" customWidth="1" bestFit="1" width="10.0" style="5"/>
    <col min="5480" max="5480" customWidth="1" bestFit="1" width="10.0" style="5"/>
    <col min="5481" max="5481" customWidth="1" bestFit="1" width="10.0" style="5"/>
    <col min="5482" max="5482" customWidth="1" bestFit="1" width="10.0" style="5"/>
    <col min="5483" max="5483" customWidth="1" bestFit="1" width="10.0" style="5"/>
    <col min="5484" max="5484" customWidth="1" bestFit="1" width="10.0" style="5"/>
    <col min="5485" max="5485" customWidth="1" bestFit="1" width="10.0" style="5"/>
    <col min="5486" max="5486" customWidth="1" bestFit="1" width="10.0" style="5"/>
    <col min="5487" max="5487" customWidth="1" bestFit="1" width="10.0" style="5"/>
    <col min="5488" max="5488" customWidth="1" bestFit="1" width="10.0" style="5"/>
    <col min="5489" max="5489" customWidth="1" bestFit="1" width="10.0" style="5"/>
    <col min="5490" max="5490" customWidth="1" bestFit="1" width="10.0" style="5"/>
    <col min="5491" max="5491" customWidth="1" bestFit="1" width="10.0" style="5"/>
    <col min="5492" max="5492" customWidth="1" bestFit="1" width="10.0" style="5"/>
    <col min="5493" max="5493" customWidth="1" bestFit="1" width="10.0" style="5"/>
    <col min="5494" max="5494" customWidth="1" bestFit="1" width="10.0" style="5"/>
    <col min="5495" max="5495" customWidth="1" bestFit="1" width="10.0" style="5"/>
    <col min="5496" max="5496" customWidth="1" bestFit="1" width="10.0" style="5"/>
    <col min="5497" max="5497" customWidth="1" bestFit="1" width="10.0" style="5"/>
    <col min="5498" max="5498" customWidth="1" bestFit="1" width="10.0" style="5"/>
    <col min="5499" max="5499" customWidth="1" bestFit="1" width="10.0" style="5"/>
    <col min="5500" max="5500" customWidth="1" bestFit="1" width="10.0" style="5"/>
    <col min="5501" max="5501" customWidth="1" bestFit="1" width="10.0" style="5"/>
    <col min="5502" max="5502" customWidth="1" bestFit="1" width="10.0" style="5"/>
    <col min="5503" max="5503" customWidth="1" bestFit="1" width="10.0" style="5"/>
    <col min="5504" max="5504" customWidth="1" bestFit="1" width="10.0" style="5"/>
    <col min="5505" max="5505" customWidth="1" bestFit="1" width="10.0" style="5"/>
    <col min="5506" max="5506" customWidth="1" bestFit="1" width="10.0" style="5"/>
    <col min="5507" max="5507" customWidth="1" bestFit="1" width="10.0" style="5"/>
    <col min="5508" max="5508" customWidth="1" bestFit="1" width="10.0" style="5"/>
    <col min="5509" max="5509" customWidth="1" bestFit="1" width="10.0" style="5"/>
    <col min="5510" max="5510" customWidth="1" bestFit="1" width="10.0" style="5"/>
    <col min="5511" max="5511" customWidth="1" bestFit="1" width="10.0" style="5"/>
    <col min="5512" max="5512" customWidth="1" bestFit="1" width="10.0" style="5"/>
    <col min="5513" max="5513" customWidth="1" bestFit="1" width="10.0" style="5"/>
    <col min="5514" max="5514" customWidth="1" bestFit="1" width="10.0" style="5"/>
    <col min="5515" max="5515" customWidth="1" bestFit="1" width="10.0" style="5"/>
    <col min="5516" max="5516" customWidth="1" bestFit="1" width="10.0" style="5"/>
    <col min="5517" max="5517" customWidth="1" bestFit="1" width="10.0" style="5"/>
    <col min="5518" max="5518" customWidth="1" bestFit="1" width="10.0" style="5"/>
    <col min="5519" max="5519" customWidth="1" bestFit="1" width="10.0" style="5"/>
    <col min="5520" max="5520" customWidth="1" bestFit="1" width="10.0" style="5"/>
    <col min="5521" max="5521" customWidth="1" bestFit="1" width="10.0" style="5"/>
    <col min="5522" max="5522" customWidth="1" bestFit="1" width="10.0" style="5"/>
    <col min="5523" max="5523" customWidth="1" bestFit="1" width="10.0" style="5"/>
    <col min="5524" max="5524" customWidth="1" bestFit="1" width="10.0" style="5"/>
    <col min="5525" max="5525" customWidth="1" bestFit="1" width="10.0" style="5"/>
    <col min="5526" max="5526" customWidth="1" bestFit="1" width="10.0" style="5"/>
    <col min="5527" max="5527" customWidth="1" bestFit="1" width="10.0" style="5"/>
    <col min="5528" max="5528" customWidth="1" bestFit="1" width="10.0" style="5"/>
    <col min="5529" max="5529" customWidth="1" bestFit="1" width="10.0" style="5"/>
    <col min="5530" max="5530" customWidth="1" bestFit="1" width="10.0" style="5"/>
    <col min="5531" max="5531" customWidth="1" bestFit="1" width="10.0" style="5"/>
    <col min="5532" max="5532" customWidth="1" bestFit="1" width="10.0" style="5"/>
    <col min="5533" max="5533" customWidth="1" bestFit="1" width="10.0" style="5"/>
    <col min="5534" max="5534" customWidth="1" bestFit="1" width="10.0" style="5"/>
    <col min="5535" max="5535" customWidth="1" bestFit="1" width="10.0" style="5"/>
    <col min="5536" max="5536" customWidth="1" bestFit="1" width="10.0" style="5"/>
    <col min="5537" max="5537" customWidth="1" bestFit="1" width="10.0" style="5"/>
    <col min="5538" max="5538" customWidth="1" bestFit="1" width="10.0" style="5"/>
    <col min="5539" max="5539" customWidth="1" bestFit="1" width="10.0" style="5"/>
    <col min="5540" max="5540" customWidth="1" bestFit="1" width="10.0" style="5"/>
    <col min="5541" max="5541" customWidth="1" bestFit="1" width="10.0" style="5"/>
    <col min="5542" max="5542" customWidth="1" bestFit="1" width="10.0" style="5"/>
    <col min="5543" max="5543" customWidth="1" bestFit="1" width="10.0" style="5"/>
    <col min="5544" max="5544" customWidth="1" bestFit="1" width="10.0" style="5"/>
    <col min="5545" max="5545" customWidth="1" bestFit="1" width="10.0" style="5"/>
    <col min="5546" max="5546" customWidth="1" bestFit="1" width="10.0" style="5"/>
    <col min="5547" max="5547" customWidth="1" bestFit="1" width="10.0" style="5"/>
    <col min="5548" max="5548" customWidth="1" bestFit="1" width="10.0" style="5"/>
    <col min="5549" max="5549" customWidth="1" bestFit="1" width="10.0" style="5"/>
    <col min="5550" max="5550" customWidth="1" bestFit="1" width="10.0" style="5"/>
    <col min="5551" max="5551" customWidth="1" bestFit="1" width="10.0" style="5"/>
    <col min="5552" max="5552" customWidth="1" bestFit="1" width="10.0" style="5"/>
    <col min="5553" max="5553" customWidth="1" bestFit="1" width="10.0" style="5"/>
    <col min="5554" max="5554" customWidth="1" bestFit="1" width="10.0" style="5"/>
    <col min="5555" max="5555" customWidth="1" bestFit="1" width="10.0" style="5"/>
    <col min="5556" max="5556" customWidth="1" bestFit="1" width="10.0" style="5"/>
    <col min="5557" max="5557" customWidth="1" bestFit="1" width="10.0" style="5"/>
    <col min="5558" max="5558" customWidth="1" bestFit="1" width="10.0" style="5"/>
    <col min="5559" max="5559" customWidth="1" bestFit="1" width="10.0" style="5"/>
    <col min="5560" max="5560" customWidth="1" bestFit="1" width="10.0" style="5"/>
    <col min="5561" max="5561" customWidth="1" bestFit="1" width="10.0" style="5"/>
    <col min="5562" max="5562" customWidth="1" bestFit="1" width="10.0" style="5"/>
    <col min="5563" max="5563" customWidth="1" bestFit="1" width="10.0" style="5"/>
    <col min="5564" max="5564" customWidth="1" bestFit="1" width="10.0" style="5"/>
    <col min="5565" max="5565" customWidth="1" bestFit="1" width="10.0" style="5"/>
    <col min="5566" max="5566" customWidth="1" bestFit="1" width="10.0" style="5"/>
    <col min="5567" max="5567" customWidth="1" bestFit="1" width="10.0" style="5"/>
    <col min="5568" max="5568" customWidth="1" bestFit="1" width="10.0" style="5"/>
    <col min="5569" max="5569" customWidth="1" bestFit="1" width="10.0" style="5"/>
    <col min="5570" max="5570" customWidth="1" bestFit="1" width="10.0" style="5"/>
    <col min="5571" max="5571" customWidth="1" bestFit="1" width="10.0" style="5"/>
    <col min="5572" max="5572" customWidth="1" bestFit="1" width="10.0" style="5"/>
    <col min="5573" max="5573" customWidth="1" bestFit="1" width="10.0" style="5"/>
    <col min="5574" max="5574" customWidth="1" bestFit="1" width="10.0" style="5"/>
    <col min="5575" max="5575" customWidth="1" bestFit="1" width="10.0" style="5"/>
    <col min="5576" max="5576" customWidth="1" bestFit="1" width="10.0" style="5"/>
    <col min="5577" max="5577" customWidth="1" bestFit="1" width="10.0" style="5"/>
    <col min="5578" max="5578" customWidth="1" bestFit="1" width="10.0" style="5"/>
    <col min="5579" max="5579" customWidth="1" bestFit="1" width="10.0" style="5"/>
    <col min="5580" max="5580" customWidth="1" bestFit="1" width="10.0" style="5"/>
    <col min="5581" max="5581" customWidth="1" bestFit="1" width="10.0" style="5"/>
    <col min="5582" max="5582" customWidth="1" bestFit="1" width="10.0" style="5"/>
    <col min="5583" max="5583" customWidth="1" bestFit="1" width="10.0" style="5"/>
    <col min="5584" max="5584" customWidth="1" bestFit="1" width="10.0" style="5"/>
    <col min="5585" max="5585" customWidth="1" bestFit="1" width="10.0" style="5"/>
    <col min="5586" max="5586" customWidth="1" bestFit="1" width="10.0" style="5"/>
    <col min="5587" max="5587" customWidth="1" bestFit="1" width="10.0" style="5"/>
    <col min="5588" max="5588" customWidth="1" bestFit="1" width="10.0" style="5"/>
    <col min="5589" max="5589" customWidth="1" bestFit="1" width="10.0" style="5"/>
    <col min="5590" max="5590" customWidth="1" bestFit="1" width="10.0" style="5"/>
    <col min="5591" max="5591" customWidth="1" bestFit="1" width="10.0" style="5"/>
    <col min="5592" max="5592" customWidth="1" bestFit="1" width="10.0" style="5"/>
    <col min="5593" max="5593" customWidth="1" bestFit="1" width="10.0" style="5"/>
    <col min="5594" max="5594" customWidth="1" bestFit="1" width="10.0" style="5"/>
    <col min="5595" max="5595" customWidth="1" bestFit="1" width="10.0" style="5"/>
    <col min="5596" max="5596" customWidth="1" bestFit="1" width="10.0" style="5"/>
    <col min="5597" max="5597" customWidth="1" bestFit="1" width="10.0" style="5"/>
    <col min="5598" max="5598" customWidth="1" bestFit="1" width="10.0" style="5"/>
    <col min="5599" max="5599" customWidth="1" bestFit="1" width="10.0" style="5"/>
    <col min="5600" max="5600" customWidth="1" bestFit="1" width="10.0" style="5"/>
    <col min="5601" max="5601" customWidth="1" bestFit="1" width="10.0" style="5"/>
    <col min="5602" max="5602" customWidth="1" bestFit="1" width="10.0" style="5"/>
    <col min="5603" max="5603" customWidth="1" bestFit="1" width="10.0" style="5"/>
    <col min="5604" max="5604" customWidth="1" bestFit="1" width="10.0" style="5"/>
    <col min="5605" max="5605" customWidth="1" bestFit="1" width="10.0" style="5"/>
    <col min="5606" max="5606" customWidth="1" bestFit="1" width="10.0" style="5"/>
    <col min="5607" max="5607" customWidth="1" bestFit="1" width="10.0" style="5"/>
    <col min="5608" max="5608" customWidth="1" bestFit="1" width="10.0" style="5"/>
    <col min="5609" max="5609" customWidth="1" bestFit="1" width="10.0" style="5"/>
    <col min="5610" max="5610" customWidth="1" bestFit="1" width="10.0" style="5"/>
    <col min="5611" max="5611" customWidth="1" bestFit="1" width="10.0" style="5"/>
    <col min="5612" max="5612" customWidth="1" bestFit="1" width="10.0" style="5"/>
    <col min="5613" max="5613" customWidth="1" bestFit="1" width="10.0" style="5"/>
    <col min="5614" max="5614" customWidth="1" bestFit="1" width="10.0" style="5"/>
    <col min="5615" max="5615" customWidth="1" bestFit="1" width="10.0" style="5"/>
    <col min="5616" max="5616" customWidth="1" bestFit="1" width="10.0" style="5"/>
    <col min="5617" max="5617" customWidth="1" bestFit="1" width="10.0" style="5"/>
    <col min="5618" max="5618" customWidth="1" bestFit="1" width="10.0" style="5"/>
    <col min="5619" max="5619" customWidth="1" bestFit="1" width="10.0" style="5"/>
    <col min="5620" max="5620" customWidth="1" bestFit="1" width="10.0" style="5"/>
    <col min="5621" max="5621" customWidth="1" bestFit="1" width="10.0" style="5"/>
    <col min="5622" max="5622" customWidth="1" bestFit="1" width="10.0" style="5"/>
    <col min="5623" max="5623" customWidth="1" bestFit="1" width="10.0" style="5"/>
    <col min="5624" max="5624" customWidth="1" bestFit="1" width="10.0" style="5"/>
    <col min="5625" max="5625" customWidth="1" bestFit="1" width="10.0" style="5"/>
    <col min="5626" max="5626" customWidth="1" bestFit="1" width="10.0" style="5"/>
    <col min="5627" max="5627" customWidth="1" bestFit="1" width="10.0" style="5"/>
    <col min="5628" max="5628" customWidth="1" bestFit="1" width="10.0" style="5"/>
    <col min="5629" max="5629" customWidth="1" bestFit="1" width="10.0" style="5"/>
    <col min="5630" max="5630" customWidth="1" bestFit="1" width="10.0" style="5"/>
    <col min="5631" max="5631" customWidth="1" bestFit="1" width="10.0" style="5"/>
    <col min="5632" max="5632" customWidth="1" bestFit="1" width="10.0" style="5"/>
    <col min="5633" max="5633" customWidth="1" bestFit="1" width="10.0" style="5"/>
    <col min="5634" max="5634" customWidth="1" bestFit="1" width="10.0" style="5"/>
    <col min="5635" max="5635" customWidth="1" bestFit="1" width="10.0" style="5"/>
    <col min="5636" max="5636" customWidth="1" bestFit="1" width="10.0" style="5"/>
    <col min="5637" max="5637" customWidth="1" bestFit="1" width="10.0" style="5"/>
    <col min="5638" max="5638" customWidth="1" bestFit="1" width="10.0" style="5"/>
    <col min="5639" max="5639" customWidth="1" bestFit="1" width="10.0" style="5"/>
    <col min="5640" max="5640" customWidth="1" bestFit="1" width="10.0" style="5"/>
    <col min="5641" max="5641" customWidth="1" bestFit="1" width="10.0" style="5"/>
    <col min="5642" max="5642" customWidth="1" bestFit="1" width="10.0" style="5"/>
    <col min="5643" max="5643" customWidth="1" bestFit="1" width="10.0" style="5"/>
    <col min="5644" max="5644" customWidth="1" bestFit="1" width="10.0" style="5"/>
    <col min="5645" max="5645" customWidth="1" bestFit="1" width="10.0" style="5"/>
    <col min="5646" max="5646" customWidth="1" bestFit="1" width="10.0" style="5"/>
    <col min="5647" max="5647" customWidth="1" bestFit="1" width="10.0" style="5"/>
    <col min="5648" max="5648" customWidth="1" bestFit="1" width="10.0" style="5"/>
    <col min="5649" max="5649" customWidth="1" bestFit="1" width="10.0" style="5"/>
    <col min="5650" max="5650" customWidth="1" bestFit="1" width="10.0" style="5"/>
    <col min="5651" max="5651" customWidth="1" bestFit="1" width="10.0" style="5"/>
    <col min="5652" max="5652" customWidth="1" bestFit="1" width="10.0" style="5"/>
    <col min="5653" max="5653" customWidth="1" bestFit="1" width="10.0" style="5"/>
    <col min="5654" max="5654" customWidth="1" bestFit="1" width="10.0" style="5"/>
    <col min="5655" max="5655" customWidth="1" bestFit="1" width="10.0" style="5"/>
    <col min="5656" max="5656" customWidth="1" bestFit="1" width="10.0" style="5"/>
    <col min="5657" max="5657" customWidth="1" bestFit="1" width="10.0" style="5"/>
    <col min="5658" max="5658" customWidth="1" bestFit="1" width="10.0" style="5"/>
    <col min="5659" max="5659" customWidth="1" bestFit="1" width="10.0" style="5"/>
    <col min="5660" max="5660" customWidth="1" bestFit="1" width="10.0" style="5"/>
    <col min="5661" max="5661" customWidth="1" bestFit="1" width="10.0" style="5"/>
    <col min="5662" max="5662" customWidth="1" bestFit="1" width="10.0" style="5"/>
    <col min="5663" max="5663" customWidth="1" bestFit="1" width="10.0" style="5"/>
    <col min="5664" max="5664" customWidth="1" bestFit="1" width="10.0" style="5"/>
    <col min="5665" max="5665" customWidth="1" bestFit="1" width="10.0" style="5"/>
    <col min="5666" max="5666" customWidth="1" bestFit="1" width="10.0" style="5"/>
    <col min="5667" max="5667" customWidth="1" bestFit="1" width="10.0" style="5"/>
    <col min="5668" max="5668" customWidth="1" bestFit="1" width="10.0" style="5"/>
    <col min="5669" max="5669" customWidth="1" bestFit="1" width="10.0" style="5"/>
    <col min="5670" max="5670" customWidth="1" bestFit="1" width="10.0" style="5"/>
    <col min="5671" max="5671" customWidth="1" bestFit="1" width="10.0" style="5"/>
    <col min="5672" max="5672" customWidth="1" bestFit="1" width="10.0" style="5"/>
    <col min="5673" max="5673" customWidth="1" bestFit="1" width="10.0" style="5"/>
    <col min="5674" max="5674" customWidth="1" bestFit="1" width="10.0" style="5"/>
    <col min="5675" max="5675" customWidth="1" bestFit="1" width="10.0" style="5"/>
    <col min="5676" max="5676" customWidth="1" bestFit="1" width="10.0" style="5"/>
    <col min="5677" max="5677" customWidth="1" bestFit="1" width="10.0" style="5"/>
    <col min="5678" max="5678" customWidth="1" bestFit="1" width="10.0" style="5"/>
    <col min="5679" max="5679" customWidth="1" bestFit="1" width="10.0" style="5"/>
    <col min="5680" max="5680" customWidth="1" bestFit="1" width="10.0" style="5"/>
    <col min="5681" max="5681" customWidth="1" bestFit="1" width="10.0" style="5"/>
    <col min="5682" max="5682" customWidth="1" bestFit="1" width="10.0" style="5"/>
    <col min="5683" max="5683" customWidth="1" bestFit="1" width="10.0" style="5"/>
    <col min="5684" max="5684" customWidth="1" bestFit="1" width="10.0" style="5"/>
    <col min="5685" max="5685" customWidth="1" bestFit="1" width="10.0" style="5"/>
    <col min="5686" max="5686" customWidth="1" bestFit="1" width="10.0" style="5"/>
    <col min="5687" max="5687" customWidth="1" bestFit="1" width="10.0" style="5"/>
    <col min="5688" max="5688" customWidth="1" bestFit="1" width="10.0" style="5"/>
    <col min="5689" max="5689" customWidth="1" bestFit="1" width="10.0" style="5"/>
    <col min="5690" max="5690" customWidth="1" bestFit="1" width="10.0" style="5"/>
    <col min="5691" max="5691" customWidth="1" bestFit="1" width="10.0" style="5"/>
    <col min="5692" max="5692" customWidth="1" bestFit="1" width="10.0" style="5"/>
    <col min="5693" max="5693" customWidth="1" bestFit="1" width="10.0" style="5"/>
    <col min="5694" max="5694" customWidth="1" bestFit="1" width="10.0" style="5"/>
    <col min="5695" max="5695" customWidth="1" bestFit="1" width="10.0" style="5"/>
    <col min="5696" max="5696" customWidth="1" bestFit="1" width="10.0" style="5"/>
    <col min="5697" max="5697" customWidth="1" bestFit="1" width="10.0" style="5"/>
    <col min="5698" max="5698" customWidth="1" bestFit="1" width="10.0" style="5"/>
    <col min="5699" max="5699" customWidth="1" bestFit="1" width="10.0" style="5"/>
    <col min="5700" max="5700" customWidth="1" bestFit="1" width="10.0" style="5"/>
    <col min="5701" max="5701" customWidth="1" bestFit="1" width="10.0" style="5"/>
    <col min="5702" max="5702" customWidth="1" bestFit="1" width="10.0" style="5"/>
    <col min="5703" max="5703" customWidth="1" bestFit="1" width="10.0" style="5"/>
    <col min="5704" max="5704" customWidth="1" bestFit="1" width="10.0" style="5"/>
    <col min="5705" max="5705" customWidth="1" bestFit="1" width="10.0" style="5"/>
    <col min="5706" max="5706" customWidth="1" bestFit="1" width="10.0" style="5"/>
    <col min="5707" max="5707" customWidth="1" bestFit="1" width="10.0" style="5"/>
    <col min="5708" max="5708" customWidth="1" bestFit="1" width="10.0" style="5"/>
    <col min="5709" max="5709" customWidth="1" bestFit="1" width="10.0" style="5"/>
    <col min="5710" max="5710" customWidth="1" bestFit="1" width="10.0" style="5"/>
    <col min="5711" max="5711" customWidth="1" bestFit="1" width="10.0" style="5"/>
    <col min="5712" max="5712" customWidth="1" bestFit="1" width="10.0" style="5"/>
    <col min="5713" max="5713" customWidth="1" bestFit="1" width="10.0" style="5"/>
    <col min="5714" max="5714" customWidth="1" bestFit="1" width="10.0" style="5"/>
    <col min="5715" max="5715" customWidth="1" bestFit="1" width="10.0" style="5"/>
    <col min="5716" max="5716" customWidth="1" bestFit="1" width="10.0" style="5"/>
    <col min="5717" max="5717" customWidth="1" bestFit="1" width="10.0" style="5"/>
    <col min="5718" max="5718" customWidth="1" bestFit="1" width="10.0" style="5"/>
    <col min="5719" max="5719" customWidth="1" bestFit="1" width="10.0" style="5"/>
    <col min="5720" max="5720" customWidth="1" bestFit="1" width="10.0" style="5"/>
    <col min="5721" max="5721" customWidth="1" bestFit="1" width="10.0" style="5"/>
    <col min="5722" max="5722" customWidth="1" bestFit="1" width="10.0" style="5"/>
    <col min="5723" max="5723" customWidth="1" bestFit="1" width="10.0" style="5"/>
    <col min="5724" max="5724" customWidth="1" bestFit="1" width="10.0" style="5"/>
    <col min="5725" max="5725" customWidth="1" bestFit="1" width="10.0" style="5"/>
    <col min="5726" max="5726" customWidth="1" bestFit="1" width="10.0" style="5"/>
    <col min="5727" max="5727" customWidth="1" bestFit="1" width="10.0" style="5"/>
    <col min="5728" max="5728" customWidth="1" bestFit="1" width="10.0" style="5"/>
    <col min="5729" max="5729" customWidth="1" bestFit="1" width="10.0" style="5"/>
    <col min="5730" max="5730" customWidth="1" bestFit="1" width="10.0" style="5"/>
    <col min="5731" max="5731" customWidth="1" bestFit="1" width="10.0" style="5"/>
    <col min="5732" max="5732" customWidth="1" bestFit="1" width="10.0" style="5"/>
    <col min="5733" max="5733" customWidth="1" bestFit="1" width="10.0" style="5"/>
    <col min="5734" max="5734" customWidth="1" bestFit="1" width="10.0" style="5"/>
    <col min="5735" max="5735" customWidth="1" bestFit="1" width="10.0" style="5"/>
    <col min="5736" max="5736" customWidth="1" bestFit="1" width="10.0" style="5"/>
    <col min="5737" max="5737" customWidth="1" bestFit="1" width="10.0" style="5"/>
    <col min="5738" max="5738" customWidth="1" bestFit="1" width="10.0" style="5"/>
    <col min="5739" max="5739" customWidth="1" bestFit="1" width="10.0" style="5"/>
    <col min="5740" max="5740" customWidth="1" bestFit="1" width="10.0" style="5"/>
    <col min="5741" max="5741" customWidth="1" bestFit="1" width="10.0" style="5"/>
    <col min="5742" max="5742" customWidth="1" bestFit="1" width="10.0" style="5"/>
    <col min="5743" max="5743" customWidth="1" bestFit="1" width="10.0" style="5"/>
    <col min="5744" max="5744" customWidth="1" bestFit="1" width="10.0" style="5"/>
    <col min="5745" max="5745" customWidth="1" bestFit="1" width="10.0" style="5"/>
    <col min="5746" max="5746" customWidth="1" bestFit="1" width="10.0" style="5"/>
    <col min="5747" max="5747" customWidth="1" bestFit="1" width="10.0" style="5"/>
    <col min="5748" max="5748" customWidth="1" bestFit="1" width="10.0" style="5"/>
    <col min="5749" max="5749" customWidth="1" bestFit="1" width="10.0" style="5"/>
    <col min="5750" max="5750" customWidth="1" bestFit="1" width="10.0" style="5"/>
    <col min="5751" max="5751" customWidth="1" bestFit="1" width="10.0" style="5"/>
    <col min="5752" max="5752" customWidth="1" bestFit="1" width="10.0" style="5"/>
    <col min="5753" max="5753" customWidth="1" bestFit="1" width="10.0" style="5"/>
    <col min="5754" max="5754" customWidth="1" bestFit="1" width="10.0" style="5"/>
    <col min="5755" max="5755" customWidth="1" bestFit="1" width="10.0" style="5"/>
    <col min="5756" max="5756" customWidth="1" bestFit="1" width="10.0" style="5"/>
    <col min="5757" max="5757" customWidth="1" bestFit="1" width="10.0" style="5"/>
    <col min="5758" max="5758" customWidth="1" bestFit="1" width="10.0" style="5"/>
    <col min="5759" max="5759" customWidth="1" bestFit="1" width="10.0" style="5"/>
    <col min="5760" max="5760" customWidth="1" bestFit="1" width="10.0" style="5"/>
    <col min="5761" max="5761" customWidth="1" bestFit="1" width="10.0" style="5"/>
    <col min="5762" max="5762" customWidth="1" bestFit="1" width="10.0" style="5"/>
    <col min="5763" max="5763" customWidth="1" bestFit="1" width="10.0" style="5"/>
    <col min="5764" max="5764" customWidth="1" bestFit="1" width="10.0" style="5"/>
    <col min="5765" max="5765" customWidth="1" bestFit="1" width="10.0" style="5"/>
    <col min="5766" max="5766" customWidth="1" bestFit="1" width="10.0" style="5"/>
    <col min="5767" max="5767" customWidth="1" bestFit="1" width="10.0" style="5"/>
    <col min="5768" max="5768" customWidth="1" bestFit="1" width="10.0" style="5"/>
    <col min="5769" max="5769" customWidth="1" bestFit="1" width="10.0" style="5"/>
    <col min="5770" max="5770" customWidth="1" bestFit="1" width="10.0" style="5"/>
    <col min="5771" max="5771" customWidth="1" bestFit="1" width="10.0" style="5"/>
    <col min="5772" max="5772" customWidth="1" bestFit="1" width="10.0" style="5"/>
    <col min="5773" max="5773" customWidth="1" bestFit="1" width="10.0" style="5"/>
    <col min="5774" max="5774" customWidth="1" bestFit="1" width="10.0" style="5"/>
    <col min="5775" max="5775" customWidth="1" bestFit="1" width="10.0" style="5"/>
    <col min="5776" max="5776" customWidth="1" bestFit="1" width="10.0" style="5"/>
    <col min="5777" max="5777" customWidth="1" bestFit="1" width="10.0" style="5"/>
    <col min="5778" max="5778" customWidth="1" bestFit="1" width="10.0" style="5"/>
    <col min="5779" max="5779" customWidth="1" bestFit="1" width="10.0" style="5"/>
    <col min="5780" max="5780" customWidth="1" bestFit="1" width="10.0" style="5"/>
    <col min="5781" max="5781" customWidth="1" bestFit="1" width="10.0" style="5"/>
    <col min="5782" max="5782" customWidth="1" bestFit="1" width="10.0" style="5"/>
    <col min="5783" max="5783" customWidth="1" bestFit="1" width="10.0" style="5"/>
    <col min="5784" max="5784" customWidth="1" bestFit="1" width="10.0" style="5"/>
    <col min="5785" max="5785" customWidth="1" bestFit="1" width="10.0" style="5"/>
    <col min="5786" max="5786" customWidth="1" bestFit="1" width="10.0" style="5"/>
    <col min="5787" max="5787" customWidth="1" bestFit="1" width="10.0" style="5"/>
    <col min="5788" max="5788" customWidth="1" bestFit="1" width="10.0" style="5"/>
    <col min="5789" max="5789" customWidth="1" bestFit="1" width="10.0" style="5"/>
    <col min="5790" max="5790" customWidth="1" bestFit="1" width="10.0" style="5"/>
    <col min="5791" max="5791" customWidth="1" bestFit="1" width="10.0" style="5"/>
    <col min="5792" max="5792" customWidth="1" bestFit="1" width="10.0" style="5"/>
    <col min="5793" max="5793" customWidth="1" bestFit="1" width="10.0" style="5"/>
    <col min="5794" max="5794" customWidth="1" bestFit="1" width="10.0" style="5"/>
    <col min="5795" max="5795" customWidth="1" bestFit="1" width="10.0" style="5"/>
    <col min="5796" max="5796" customWidth="1" bestFit="1" width="10.0" style="5"/>
    <col min="5797" max="5797" customWidth="1" bestFit="1" width="10.0" style="5"/>
    <col min="5798" max="5798" customWidth="1" bestFit="1" width="10.0" style="5"/>
    <col min="5799" max="5799" customWidth="1" bestFit="1" width="10.0" style="5"/>
    <col min="5800" max="5800" customWidth="1" bestFit="1" width="10.0" style="5"/>
    <col min="5801" max="5801" customWidth="1" bestFit="1" width="10.0" style="5"/>
    <col min="5802" max="5802" customWidth="1" bestFit="1" width="10.0" style="5"/>
    <col min="5803" max="5803" customWidth="1" bestFit="1" width="10.0" style="5"/>
    <col min="5804" max="5804" customWidth="1" bestFit="1" width="10.0" style="5"/>
    <col min="5805" max="5805" customWidth="1" bestFit="1" width="10.0" style="5"/>
    <col min="5806" max="5806" customWidth="1" bestFit="1" width="10.0" style="5"/>
    <col min="5807" max="5807" customWidth="1" bestFit="1" width="10.0" style="5"/>
    <col min="5808" max="5808" customWidth="1" bestFit="1" width="10.0" style="5"/>
    <col min="5809" max="5809" customWidth="1" bestFit="1" width="10.0" style="5"/>
    <col min="5810" max="5810" customWidth="1" bestFit="1" width="10.0" style="5"/>
    <col min="5811" max="5811" customWidth="1" bestFit="1" width="10.0" style="5"/>
    <col min="5812" max="5812" customWidth="1" bestFit="1" width="10.0" style="5"/>
    <col min="5813" max="5813" customWidth="1" bestFit="1" width="10.0" style="5"/>
    <col min="5814" max="5814" customWidth="1" bestFit="1" width="10.0" style="5"/>
    <col min="5815" max="5815" customWidth="1" bestFit="1" width="10.0" style="5"/>
    <col min="5816" max="5816" customWidth="1" bestFit="1" width="10.0" style="5"/>
    <col min="5817" max="5817" customWidth="1" bestFit="1" width="10.0" style="5"/>
    <col min="5818" max="5818" customWidth="1" bestFit="1" width="10.0" style="5"/>
    <col min="5819" max="5819" customWidth="1" bestFit="1" width="10.0" style="5"/>
    <col min="5820" max="5820" customWidth="1" bestFit="1" width="10.0" style="5"/>
    <col min="5821" max="5821" customWidth="1" bestFit="1" width="10.0" style="5"/>
    <col min="5822" max="5822" customWidth="1" bestFit="1" width="10.0" style="5"/>
    <col min="5823" max="5823" customWidth="1" bestFit="1" width="10.0" style="5"/>
    <col min="5824" max="5824" customWidth="1" bestFit="1" width="10.0" style="5"/>
    <col min="5825" max="5825" customWidth="1" bestFit="1" width="10.0" style="5"/>
    <col min="5826" max="5826" customWidth="1" bestFit="1" width="10.0" style="5"/>
    <col min="5827" max="5827" customWidth="1" bestFit="1" width="10.0" style="5"/>
    <col min="5828" max="5828" customWidth="1" bestFit="1" width="10.0" style="5"/>
    <col min="5829" max="5829" customWidth="1" bestFit="1" width="10.0" style="5"/>
    <col min="5830" max="5830" customWidth="1" bestFit="1" width="10.0" style="5"/>
    <col min="5831" max="5831" customWidth="1" bestFit="1" width="10.0" style="5"/>
    <col min="5832" max="5832" customWidth="1" bestFit="1" width="10.0" style="5"/>
    <col min="5833" max="5833" customWidth="1" bestFit="1" width="10.0" style="5"/>
    <col min="5834" max="5834" customWidth="1" bestFit="1" width="10.0" style="5"/>
    <col min="5835" max="5835" customWidth="1" bestFit="1" width="10.0" style="5"/>
    <col min="5836" max="5836" customWidth="1" bestFit="1" width="10.0" style="5"/>
    <col min="5837" max="5837" customWidth="1" bestFit="1" width="10.0" style="5"/>
    <col min="5838" max="5838" customWidth="1" bestFit="1" width="10.0" style="5"/>
    <col min="5839" max="5839" customWidth="1" bestFit="1" width="10.0" style="5"/>
    <col min="5840" max="5840" customWidth="1" bestFit="1" width="10.0" style="5"/>
    <col min="5841" max="5841" customWidth="1" bestFit="1" width="10.0" style="5"/>
    <col min="5842" max="5842" customWidth="1" bestFit="1" width="10.0" style="5"/>
    <col min="5843" max="5843" customWidth="1" bestFit="1" width="10.0" style="5"/>
    <col min="5844" max="5844" customWidth="1" bestFit="1" width="10.0" style="5"/>
    <col min="5845" max="5845" customWidth="1" bestFit="1" width="10.0" style="5"/>
    <col min="5846" max="5846" customWidth="1" bestFit="1" width="10.0" style="5"/>
    <col min="5847" max="5847" customWidth="1" bestFit="1" width="10.0" style="5"/>
    <col min="5848" max="5848" customWidth="1" bestFit="1" width="10.0" style="5"/>
    <col min="5849" max="5849" customWidth="1" bestFit="1" width="10.0" style="5"/>
    <col min="5850" max="5850" customWidth="1" bestFit="1" width="10.0" style="5"/>
    <col min="5851" max="5851" customWidth="1" bestFit="1" width="10.0" style="5"/>
    <col min="5852" max="5852" customWidth="1" bestFit="1" width="10.0" style="5"/>
    <col min="5853" max="5853" customWidth="1" bestFit="1" width="10.0" style="5"/>
    <col min="5854" max="5854" customWidth="1" bestFit="1" width="10.0" style="5"/>
    <col min="5855" max="5855" customWidth="1" bestFit="1" width="10.0" style="5"/>
    <col min="5856" max="5856" customWidth="1" bestFit="1" width="10.0" style="5"/>
    <col min="5857" max="5857" customWidth="1" bestFit="1" width="10.0" style="5"/>
    <col min="5858" max="5858" customWidth="1" bestFit="1" width="10.0" style="5"/>
    <col min="5859" max="5859" customWidth="1" bestFit="1" width="10.0" style="5"/>
    <col min="5860" max="5860" customWidth="1" bestFit="1" width="10.0" style="5"/>
    <col min="5861" max="5861" customWidth="1" bestFit="1" width="10.0" style="5"/>
    <col min="5862" max="5862" customWidth="1" bestFit="1" width="10.0" style="5"/>
    <col min="5863" max="5863" customWidth="1" bestFit="1" width="10.0" style="5"/>
    <col min="5864" max="5864" customWidth="1" bestFit="1" width="10.0" style="5"/>
    <col min="5865" max="5865" customWidth="1" bestFit="1" width="10.0" style="5"/>
    <col min="5866" max="5866" customWidth="1" bestFit="1" width="10.0" style="5"/>
    <col min="5867" max="5867" customWidth="1" bestFit="1" width="10.0" style="5"/>
    <col min="5868" max="5868" customWidth="1" bestFit="1" width="10.0" style="5"/>
    <col min="5869" max="5869" customWidth="1" bestFit="1" width="10.0" style="5"/>
    <col min="5870" max="5870" customWidth="1" bestFit="1" width="10.0" style="5"/>
    <col min="5871" max="5871" customWidth="1" bestFit="1" width="10.0" style="5"/>
    <col min="5872" max="5872" customWidth="1" bestFit="1" width="10.0" style="5"/>
    <col min="5873" max="5873" customWidth="1" bestFit="1" width="10.0" style="5"/>
    <col min="5874" max="5874" customWidth="1" bestFit="1" width="10.0" style="5"/>
    <col min="5875" max="5875" customWidth="1" bestFit="1" width="10.0" style="5"/>
    <col min="5876" max="5876" customWidth="1" bestFit="1" width="10.0" style="5"/>
    <col min="5877" max="5877" customWidth="1" bestFit="1" width="10.0" style="5"/>
    <col min="5878" max="5878" customWidth="1" bestFit="1" width="10.0" style="5"/>
    <col min="5879" max="5879" customWidth="1" bestFit="1" width="10.0" style="5"/>
    <col min="5880" max="5880" customWidth="1" bestFit="1" width="10.0" style="5"/>
    <col min="5881" max="5881" customWidth="1" bestFit="1" width="10.0" style="5"/>
    <col min="5882" max="5882" customWidth="1" bestFit="1" width="10.0" style="5"/>
    <col min="5883" max="5883" customWidth="1" bestFit="1" width="10.0" style="5"/>
    <col min="5884" max="5884" customWidth="1" bestFit="1" width="10.0" style="5"/>
    <col min="5885" max="5885" customWidth="1" bestFit="1" width="10.0" style="5"/>
    <col min="5886" max="5886" customWidth="1" bestFit="1" width="10.0" style="5"/>
    <col min="5887" max="5887" customWidth="1" bestFit="1" width="10.0" style="5"/>
    <col min="5888" max="5888" customWidth="1" bestFit="1" width="10.0" style="5"/>
    <col min="5889" max="5889" customWidth="1" bestFit="1" width="10.0" style="5"/>
    <col min="5890" max="5890" customWidth="1" bestFit="1" width="10.0" style="5"/>
    <col min="5891" max="5891" customWidth="1" bestFit="1" width="10.0" style="5"/>
    <col min="5892" max="5892" customWidth="1" bestFit="1" width="10.0" style="5"/>
    <col min="5893" max="5893" customWidth="1" bestFit="1" width="10.0" style="5"/>
    <col min="5894" max="5894" customWidth="1" bestFit="1" width="10.0" style="5"/>
    <col min="5895" max="5895" customWidth="1" bestFit="1" width="10.0" style="5"/>
    <col min="5896" max="5896" customWidth="1" bestFit="1" width="10.0" style="5"/>
    <col min="5897" max="5897" customWidth="1" bestFit="1" width="10.0" style="5"/>
    <col min="5898" max="5898" customWidth="1" bestFit="1" width="10.0" style="5"/>
    <col min="5899" max="5899" customWidth="1" bestFit="1" width="10.0" style="5"/>
    <col min="5900" max="5900" customWidth="1" bestFit="1" width="10.0" style="5"/>
    <col min="5901" max="5901" customWidth="1" bestFit="1" width="10.0" style="5"/>
    <col min="5902" max="5902" customWidth="1" bestFit="1" width="10.0" style="5"/>
    <col min="5903" max="5903" customWidth="1" bestFit="1" width="10.0" style="5"/>
    <col min="5904" max="5904" customWidth="1" bestFit="1" width="10.0" style="5"/>
    <col min="5905" max="5905" customWidth="1" bestFit="1" width="10.0" style="5"/>
    <col min="5906" max="5906" customWidth="1" bestFit="1" width="10.0" style="5"/>
    <col min="5907" max="5907" customWidth="1" bestFit="1" width="10.0" style="5"/>
    <col min="5908" max="5908" customWidth="1" bestFit="1" width="10.0" style="5"/>
    <col min="5909" max="5909" customWidth="1" bestFit="1" width="10.0" style="5"/>
    <col min="5910" max="5910" customWidth="1" bestFit="1" width="10.0" style="5"/>
    <col min="5911" max="5911" customWidth="1" bestFit="1" width="10.0" style="5"/>
    <col min="5912" max="5912" customWidth="1" bestFit="1" width="10.0" style="5"/>
    <col min="5913" max="5913" customWidth="1" bestFit="1" width="10.0" style="5"/>
    <col min="5914" max="5914" customWidth="1" bestFit="1" width="10.0" style="5"/>
    <col min="5915" max="5915" customWidth="1" bestFit="1" width="10.0" style="5"/>
    <col min="5916" max="5916" customWidth="1" bestFit="1" width="10.0" style="5"/>
    <col min="5917" max="5917" customWidth="1" bestFit="1" width="10.0" style="5"/>
    <col min="5918" max="5918" customWidth="1" bestFit="1" width="10.0" style="5"/>
    <col min="5919" max="5919" customWidth="1" bestFit="1" width="10.0" style="5"/>
    <col min="5920" max="5920" customWidth="1" bestFit="1" width="10.0" style="5"/>
    <col min="5921" max="5921" customWidth="1" bestFit="1" width="10.0" style="5"/>
    <col min="5922" max="5922" customWidth="1" bestFit="1" width="10.0" style="5"/>
    <col min="5923" max="5923" customWidth="1" bestFit="1" width="10.0" style="5"/>
    <col min="5924" max="5924" customWidth="1" bestFit="1" width="10.0" style="5"/>
    <col min="5925" max="5925" customWidth="1" bestFit="1" width="10.0" style="5"/>
    <col min="5926" max="5926" customWidth="1" bestFit="1" width="10.0" style="5"/>
    <col min="5927" max="5927" customWidth="1" bestFit="1" width="10.0" style="5"/>
    <col min="5928" max="5928" customWidth="1" bestFit="1" width="10.0" style="5"/>
    <col min="5929" max="5929" customWidth="1" bestFit="1" width="10.0" style="5"/>
    <col min="5930" max="5930" customWidth="1" bestFit="1" width="10.0" style="5"/>
    <col min="5931" max="5931" customWidth="1" bestFit="1" width="10.0" style="5"/>
    <col min="5932" max="5932" customWidth="1" bestFit="1" width="10.0" style="5"/>
    <col min="5933" max="5933" customWidth="1" bestFit="1" width="10.0" style="5"/>
    <col min="5934" max="5934" customWidth="1" bestFit="1" width="10.0" style="5"/>
    <col min="5935" max="5935" customWidth="1" bestFit="1" width="10.0" style="5"/>
    <col min="5936" max="5936" customWidth="1" bestFit="1" width="10.0" style="5"/>
    <col min="5937" max="5937" customWidth="1" bestFit="1" width="10.0" style="5"/>
    <col min="5938" max="5938" customWidth="1" bestFit="1" width="10.0" style="5"/>
    <col min="5939" max="5939" customWidth="1" bestFit="1" width="10.0" style="5"/>
    <col min="5940" max="5940" customWidth="1" bestFit="1" width="10.0" style="5"/>
    <col min="5941" max="5941" customWidth="1" bestFit="1" width="10.0" style="5"/>
    <col min="5942" max="5942" customWidth="1" bestFit="1" width="10.0" style="5"/>
    <col min="5943" max="5943" customWidth="1" bestFit="1" width="10.0" style="5"/>
    <col min="5944" max="5944" customWidth="1" bestFit="1" width="10.0" style="5"/>
    <col min="5945" max="5945" customWidth="1" bestFit="1" width="10.0" style="5"/>
    <col min="5946" max="5946" customWidth="1" bestFit="1" width="10.0" style="5"/>
    <col min="5947" max="5947" customWidth="1" bestFit="1" width="10.0" style="5"/>
    <col min="5948" max="5948" customWidth="1" bestFit="1" width="10.0" style="5"/>
    <col min="5949" max="5949" customWidth="1" bestFit="1" width="10.0" style="5"/>
    <col min="5950" max="5950" customWidth="1" bestFit="1" width="10.0" style="5"/>
    <col min="5951" max="5951" customWidth="1" bestFit="1" width="10.0" style="5"/>
    <col min="5952" max="5952" customWidth="1" bestFit="1" width="10.0" style="5"/>
    <col min="5953" max="5953" customWidth="1" bestFit="1" width="10.0" style="5"/>
    <col min="5954" max="5954" customWidth="1" bestFit="1" width="10.0" style="5"/>
    <col min="5955" max="5955" customWidth="1" bestFit="1" width="10.0" style="5"/>
    <col min="5956" max="5956" customWidth="1" bestFit="1" width="10.0" style="5"/>
    <col min="5957" max="5957" customWidth="1" bestFit="1" width="10.0" style="5"/>
    <col min="5958" max="5958" customWidth="1" bestFit="1" width="10.0" style="5"/>
    <col min="5959" max="5959" customWidth="1" bestFit="1" width="10.0" style="5"/>
    <col min="5960" max="5960" customWidth="1" bestFit="1" width="10.0" style="5"/>
    <col min="5961" max="5961" customWidth="1" bestFit="1" width="10.0" style="5"/>
    <col min="5962" max="5962" customWidth="1" bestFit="1" width="10.0" style="5"/>
    <col min="5963" max="5963" customWidth="1" bestFit="1" width="10.0" style="5"/>
    <col min="5964" max="5964" customWidth="1" bestFit="1" width="10.0" style="5"/>
    <col min="5965" max="5965" customWidth="1" bestFit="1" width="10.0" style="5"/>
    <col min="5966" max="5966" customWidth="1" bestFit="1" width="10.0" style="5"/>
    <col min="5967" max="5967" customWidth="1" bestFit="1" width="10.0" style="5"/>
    <col min="5968" max="5968" customWidth="1" bestFit="1" width="10.0" style="5"/>
    <col min="5969" max="5969" customWidth="1" bestFit="1" width="10.0" style="5"/>
    <col min="5970" max="5970" customWidth="1" bestFit="1" width="10.0" style="5"/>
    <col min="5971" max="5971" customWidth="1" bestFit="1" width="10.0" style="5"/>
    <col min="5972" max="5972" customWidth="1" bestFit="1" width="10.0" style="5"/>
    <col min="5973" max="5973" customWidth="1" bestFit="1" width="10.0" style="5"/>
    <col min="5974" max="5974" customWidth="1" bestFit="1" width="10.0" style="5"/>
    <col min="5975" max="5975" customWidth="1" bestFit="1" width="10.0" style="5"/>
    <col min="5976" max="5976" customWidth="1" bestFit="1" width="10.0" style="5"/>
    <col min="5977" max="5977" customWidth="1" bestFit="1" width="10.0" style="5"/>
    <col min="5978" max="5978" customWidth="1" bestFit="1" width="10.0" style="5"/>
    <col min="5979" max="5979" customWidth="1" bestFit="1" width="10.0" style="5"/>
    <col min="5980" max="5980" customWidth="1" bestFit="1" width="10.0" style="5"/>
    <col min="5981" max="5981" customWidth="1" bestFit="1" width="10.0" style="5"/>
    <col min="5982" max="5982" customWidth="1" bestFit="1" width="10.0" style="5"/>
    <col min="5983" max="5983" customWidth="1" bestFit="1" width="10.0" style="5"/>
    <col min="5984" max="5984" customWidth="1" bestFit="1" width="10.0" style="5"/>
    <col min="5985" max="5985" customWidth="1" bestFit="1" width="10.0" style="5"/>
    <col min="5986" max="5986" customWidth="1" bestFit="1" width="10.0" style="5"/>
    <col min="5987" max="5987" customWidth="1" bestFit="1" width="10.0" style="5"/>
    <col min="5988" max="5988" customWidth="1" bestFit="1" width="10.0" style="5"/>
    <col min="5989" max="5989" customWidth="1" bestFit="1" width="10.0" style="5"/>
    <col min="5990" max="5990" customWidth="1" bestFit="1" width="10.0" style="5"/>
    <col min="5991" max="5991" customWidth="1" bestFit="1" width="10.0" style="5"/>
    <col min="5992" max="5992" customWidth="1" bestFit="1" width="10.0" style="5"/>
    <col min="5993" max="5993" customWidth="1" bestFit="1" width="10.0" style="5"/>
    <col min="5994" max="5994" customWidth="1" bestFit="1" width="10.0" style="5"/>
    <col min="5995" max="5995" customWidth="1" bestFit="1" width="10.0" style="5"/>
    <col min="5996" max="5996" customWidth="1" bestFit="1" width="10.0" style="5"/>
    <col min="5997" max="5997" customWidth="1" bestFit="1" width="10.0" style="5"/>
    <col min="5998" max="5998" customWidth="1" bestFit="1" width="10.0" style="5"/>
    <col min="5999" max="5999" customWidth="1" bestFit="1" width="10.0" style="5"/>
    <col min="6000" max="6000" customWidth="1" bestFit="1" width="10.0" style="5"/>
    <col min="6001" max="6001" customWidth="1" bestFit="1" width="10.0" style="5"/>
    <col min="6002" max="6002" customWidth="1" bestFit="1" width="10.0" style="5"/>
    <col min="6003" max="6003" customWidth="1" bestFit="1" width="10.0" style="5"/>
    <col min="6004" max="6004" customWidth="1" bestFit="1" width="10.0" style="5"/>
    <col min="6005" max="6005" customWidth="1" bestFit="1" width="10.0" style="5"/>
    <col min="6006" max="6006" customWidth="1" bestFit="1" width="10.0" style="5"/>
    <col min="6007" max="6007" customWidth="1" bestFit="1" width="10.0" style="5"/>
    <col min="6008" max="6008" customWidth="1" bestFit="1" width="10.0" style="5"/>
    <col min="6009" max="6009" customWidth="1" bestFit="1" width="10.0" style="5"/>
    <col min="6010" max="6010" customWidth="1" bestFit="1" width="10.0" style="5"/>
    <col min="6011" max="6011" customWidth="1" bestFit="1" width="10.0" style="5"/>
    <col min="6012" max="6012" customWidth="1" bestFit="1" width="10.0" style="5"/>
    <col min="6013" max="6013" customWidth="1" bestFit="1" width="10.0" style="5"/>
    <col min="6014" max="6014" customWidth="1" bestFit="1" width="10.0" style="5"/>
    <col min="6015" max="6015" customWidth="1" bestFit="1" width="10.0" style="5"/>
    <col min="6016" max="6016" customWidth="1" bestFit="1" width="10.0" style="5"/>
    <col min="6017" max="6017" customWidth="1" bestFit="1" width="10.0" style="5"/>
    <col min="6018" max="6018" customWidth="1" bestFit="1" width="10.0" style="5"/>
    <col min="6019" max="6019" customWidth="1" bestFit="1" width="10.0" style="5"/>
    <col min="6020" max="6020" customWidth="1" bestFit="1" width="10.0" style="5"/>
    <col min="6021" max="6021" customWidth="1" bestFit="1" width="10.0" style="5"/>
    <col min="6022" max="6022" customWidth="1" bestFit="1" width="10.0" style="5"/>
    <col min="6023" max="6023" customWidth="1" bestFit="1" width="10.0" style="5"/>
    <col min="6024" max="6024" customWidth="1" bestFit="1" width="10.0" style="5"/>
    <col min="6025" max="6025" customWidth="1" bestFit="1" width="10.0" style="5"/>
    <col min="6026" max="6026" customWidth="1" bestFit="1" width="10.0" style="5"/>
    <col min="6027" max="6027" customWidth="1" bestFit="1" width="10.0" style="5"/>
    <col min="6028" max="6028" customWidth="1" bestFit="1" width="10.0" style="5"/>
    <col min="6029" max="6029" customWidth="1" bestFit="1" width="10.0" style="5"/>
    <col min="6030" max="6030" customWidth="1" bestFit="1" width="10.0" style="5"/>
    <col min="6031" max="6031" customWidth="1" bestFit="1" width="10.0" style="5"/>
    <col min="6032" max="6032" customWidth="1" bestFit="1" width="10.0" style="5"/>
    <col min="6033" max="6033" customWidth="1" bestFit="1" width="10.0" style="5"/>
    <col min="6034" max="6034" customWidth="1" bestFit="1" width="10.0" style="5"/>
    <col min="6035" max="6035" customWidth="1" bestFit="1" width="10.0" style="5"/>
    <col min="6036" max="6036" customWidth="1" bestFit="1" width="10.0" style="5"/>
    <col min="6037" max="6037" customWidth="1" bestFit="1" width="10.0" style="5"/>
    <col min="6038" max="6038" customWidth="1" bestFit="1" width="10.0" style="5"/>
    <col min="6039" max="6039" customWidth="1" bestFit="1" width="10.0" style="5"/>
    <col min="6040" max="6040" customWidth="1" bestFit="1" width="10.0" style="5"/>
    <col min="6041" max="6041" customWidth="1" bestFit="1" width="10.0" style="5"/>
    <col min="6042" max="6042" customWidth="1" bestFit="1" width="10.0" style="5"/>
    <col min="6043" max="6043" customWidth="1" bestFit="1" width="10.0" style="5"/>
    <col min="6044" max="6044" customWidth="1" bestFit="1" width="10.0" style="5"/>
    <col min="6045" max="6045" customWidth="1" bestFit="1" width="10.0" style="5"/>
    <col min="6046" max="6046" customWidth="1" bestFit="1" width="10.0" style="5"/>
    <col min="6047" max="6047" customWidth="1" bestFit="1" width="10.0" style="5"/>
    <col min="6048" max="6048" customWidth="1" bestFit="1" width="10.0" style="5"/>
    <col min="6049" max="6049" customWidth="1" bestFit="1" width="10.0" style="5"/>
    <col min="6050" max="6050" customWidth="1" bestFit="1" width="10.0" style="5"/>
    <col min="6051" max="6051" customWidth="1" bestFit="1" width="10.0" style="5"/>
    <col min="6052" max="6052" customWidth="1" bestFit="1" width="10.0" style="5"/>
    <col min="6053" max="6053" customWidth="1" bestFit="1" width="10.0" style="5"/>
    <col min="6054" max="6054" customWidth="1" bestFit="1" width="10.0" style="5"/>
    <col min="6055" max="6055" customWidth="1" bestFit="1" width="10.0" style="5"/>
    <col min="6056" max="6056" customWidth="1" bestFit="1" width="10.0" style="5"/>
    <col min="6057" max="6057" customWidth="1" bestFit="1" width="10.0" style="5"/>
    <col min="6058" max="6058" customWidth="1" bestFit="1" width="10.0" style="5"/>
    <col min="6059" max="6059" customWidth="1" bestFit="1" width="10.0" style="5"/>
    <col min="6060" max="6060" customWidth="1" bestFit="1" width="10.0" style="5"/>
    <col min="6061" max="6061" customWidth="1" bestFit="1" width="10.0" style="5"/>
    <col min="6062" max="6062" customWidth="1" bestFit="1" width="10.0" style="5"/>
    <col min="6063" max="6063" customWidth="1" bestFit="1" width="10.0" style="5"/>
    <col min="6064" max="6064" customWidth="1" bestFit="1" width="10.0" style="5"/>
    <col min="6065" max="6065" customWidth="1" bestFit="1" width="10.0" style="5"/>
    <col min="6066" max="6066" customWidth="1" bestFit="1" width="10.0" style="5"/>
    <col min="6067" max="6067" customWidth="1" bestFit="1" width="10.0" style="5"/>
    <col min="6068" max="6068" customWidth="1" bestFit="1" width="10.0" style="5"/>
    <col min="6069" max="6069" customWidth="1" bestFit="1" width="10.0" style="5"/>
    <col min="6070" max="6070" customWidth="1" bestFit="1" width="10.0" style="5"/>
    <col min="6071" max="6071" customWidth="1" bestFit="1" width="10.0" style="5"/>
    <col min="6072" max="6072" customWidth="1" bestFit="1" width="10.0" style="5"/>
    <col min="6073" max="6073" customWidth="1" bestFit="1" width="10.0" style="5"/>
    <col min="6074" max="6074" customWidth="1" bestFit="1" width="10.0" style="5"/>
    <col min="6075" max="6075" customWidth="1" bestFit="1" width="10.0" style="5"/>
    <col min="6076" max="6076" customWidth="1" bestFit="1" width="10.0" style="5"/>
    <col min="6077" max="6077" customWidth="1" bestFit="1" width="10.0" style="5"/>
    <col min="6078" max="6078" customWidth="1" bestFit="1" width="10.0" style="5"/>
    <col min="6079" max="6079" customWidth="1" bestFit="1" width="10.0" style="5"/>
    <col min="6080" max="6080" customWidth="1" bestFit="1" width="10.0" style="5"/>
    <col min="6081" max="6081" customWidth="1" bestFit="1" width="10.0" style="5"/>
    <col min="6082" max="6082" customWidth="1" bestFit="1" width="10.0" style="5"/>
    <col min="6083" max="6083" customWidth="1" bestFit="1" width="10.0" style="5"/>
    <col min="6084" max="6084" customWidth="1" bestFit="1" width="10.0" style="5"/>
    <col min="6085" max="6085" customWidth="1" bestFit="1" width="10.0" style="5"/>
    <col min="6086" max="6086" customWidth="1" bestFit="1" width="10.0" style="5"/>
    <col min="6087" max="6087" customWidth="1" bestFit="1" width="10.0" style="5"/>
    <col min="6088" max="6088" customWidth="1" bestFit="1" width="10.0" style="5"/>
    <col min="6089" max="6089" customWidth="1" bestFit="1" width="10.0" style="5"/>
    <col min="6090" max="6090" customWidth="1" bestFit="1" width="10.0" style="5"/>
    <col min="6091" max="6091" customWidth="1" bestFit="1" width="10.0" style="5"/>
    <col min="6092" max="6092" customWidth="1" bestFit="1" width="10.0" style="5"/>
    <col min="6093" max="6093" customWidth="1" bestFit="1" width="10.0" style="5"/>
    <col min="6094" max="6094" customWidth="1" bestFit="1" width="10.0" style="5"/>
    <col min="6095" max="6095" customWidth="1" bestFit="1" width="10.0" style="5"/>
    <col min="6096" max="6096" customWidth="1" bestFit="1" width="10.0" style="5"/>
    <col min="6097" max="6097" customWidth="1" bestFit="1" width="10.0" style="5"/>
    <col min="6098" max="6098" customWidth="1" bestFit="1" width="10.0" style="5"/>
    <col min="6099" max="6099" customWidth="1" bestFit="1" width="10.0" style="5"/>
    <col min="6100" max="6100" customWidth="1" bestFit="1" width="10.0" style="5"/>
    <col min="6101" max="6101" customWidth="1" bestFit="1" width="10.0" style="5"/>
    <col min="6102" max="6102" customWidth="1" bestFit="1" width="10.0" style="5"/>
    <col min="6103" max="6103" customWidth="1" bestFit="1" width="10.0" style="5"/>
    <col min="6104" max="6104" customWidth="1" bestFit="1" width="10.0" style="5"/>
    <col min="6105" max="6105" customWidth="1" bestFit="1" width="10.0" style="5"/>
    <col min="6106" max="6106" customWidth="1" bestFit="1" width="10.0" style="5"/>
    <col min="6107" max="6107" customWidth="1" bestFit="1" width="10.0" style="5"/>
    <col min="6108" max="6108" customWidth="1" bestFit="1" width="10.0" style="5"/>
    <col min="6109" max="6109" customWidth="1" bestFit="1" width="10.0" style="5"/>
    <col min="6110" max="6110" customWidth="1" bestFit="1" width="10.0" style="5"/>
    <col min="6111" max="6111" customWidth="1" bestFit="1" width="10.0" style="5"/>
    <col min="6112" max="6112" customWidth="1" bestFit="1" width="10.0" style="5"/>
    <col min="6113" max="6113" customWidth="1" bestFit="1" width="10.0" style="5"/>
    <col min="6114" max="6114" customWidth="1" bestFit="1" width="10.0" style="5"/>
    <col min="6115" max="6115" customWidth="1" bestFit="1" width="10.0" style="5"/>
    <col min="6116" max="6116" customWidth="1" bestFit="1" width="10.0" style="5"/>
    <col min="6117" max="6117" customWidth="1" bestFit="1" width="10.0" style="5"/>
    <col min="6118" max="6118" customWidth="1" bestFit="1" width="10.0" style="5"/>
    <col min="6119" max="6119" customWidth="1" bestFit="1" width="10.0" style="5"/>
    <col min="6120" max="6120" customWidth="1" bestFit="1" width="10.0" style="5"/>
    <col min="6121" max="6121" customWidth="1" bestFit="1" width="10.0" style="5"/>
    <col min="6122" max="6122" customWidth="1" bestFit="1" width="10.0" style="5"/>
    <col min="6123" max="6123" customWidth="1" bestFit="1" width="10.0" style="5"/>
    <col min="6124" max="6124" customWidth="1" bestFit="1" width="10.0" style="5"/>
    <col min="6125" max="6125" customWidth="1" bestFit="1" width="10.0" style="5"/>
    <col min="6126" max="6126" customWidth="1" bestFit="1" width="10.0" style="5"/>
    <col min="6127" max="6127" customWidth="1" bestFit="1" width="10.0" style="5"/>
    <col min="6128" max="6128" customWidth="1" bestFit="1" width="10.0" style="5"/>
    <col min="6129" max="6129" customWidth="1" bestFit="1" width="10.0" style="5"/>
    <col min="6130" max="6130" customWidth="1" bestFit="1" width="10.0" style="5"/>
    <col min="6131" max="6131" customWidth="1" bestFit="1" width="10.0" style="5"/>
    <col min="6132" max="6132" customWidth="1" bestFit="1" width="10.0" style="5"/>
    <col min="6133" max="6133" customWidth="1" bestFit="1" width="10.0" style="5"/>
    <col min="6134" max="6134" customWidth="1" bestFit="1" width="10.0" style="5"/>
    <col min="6135" max="6135" customWidth="1" bestFit="1" width="10.0" style="5"/>
    <col min="6136" max="6136" customWidth="1" bestFit="1" width="10.0" style="5"/>
    <col min="6137" max="6137" customWidth="1" bestFit="1" width="10.0" style="5"/>
    <col min="6138" max="6138" customWidth="1" bestFit="1" width="10.0" style="5"/>
    <col min="6139" max="6139" customWidth="1" bestFit="1" width="10.0" style="5"/>
    <col min="6140" max="6140" customWidth="1" bestFit="1" width="10.0" style="5"/>
    <col min="6141" max="6141" customWidth="1" bestFit="1" width="10.0" style="5"/>
    <col min="6142" max="6142" customWidth="1" bestFit="1" width="10.0" style="5"/>
    <col min="6143" max="6143" customWidth="1" bestFit="1" width="10.0" style="5"/>
    <col min="6144" max="6144" customWidth="1" bestFit="1" width="10.0" style="5"/>
    <col min="6145" max="6145" customWidth="1" bestFit="1" width="10.0" style="5"/>
    <col min="6146" max="6146" customWidth="1" bestFit="1" width="10.0" style="5"/>
    <col min="6147" max="6147" customWidth="1" bestFit="1" width="10.0" style="5"/>
    <col min="6148" max="6148" customWidth="1" bestFit="1" width="10.0" style="5"/>
    <col min="6149" max="6149" customWidth="1" bestFit="1" width="10.0" style="5"/>
    <col min="6150" max="6150" customWidth="1" bestFit="1" width="10.0" style="5"/>
    <col min="6151" max="6151" customWidth="1" bestFit="1" width="10.0" style="5"/>
    <col min="6152" max="6152" customWidth="1" bestFit="1" width="10.0" style="5"/>
    <col min="6153" max="6153" customWidth="1" bestFit="1" width="10.0" style="5"/>
    <col min="6154" max="6154" customWidth="1" bestFit="1" width="10.0" style="5"/>
    <col min="6155" max="6155" customWidth="1" bestFit="1" width="10.0" style="5"/>
    <col min="6156" max="6156" customWidth="1" bestFit="1" width="10.0" style="5"/>
    <col min="6157" max="6157" customWidth="1" bestFit="1" width="10.0" style="5"/>
    <col min="6158" max="6158" customWidth="1" bestFit="1" width="10.0" style="5"/>
    <col min="6159" max="6159" customWidth="1" bestFit="1" width="10.0" style="5"/>
    <col min="6160" max="6160" customWidth="1" bestFit="1" width="10.0" style="5"/>
    <col min="6161" max="6161" customWidth="1" bestFit="1" width="10.0" style="5"/>
    <col min="6162" max="6162" customWidth="1" bestFit="1" width="10.0" style="5"/>
    <col min="6163" max="6163" customWidth="1" bestFit="1" width="10.0" style="5"/>
    <col min="6164" max="6164" customWidth="1" bestFit="1" width="10.0" style="5"/>
    <col min="6165" max="6165" customWidth="1" bestFit="1" width="10.0" style="5"/>
    <col min="6166" max="6166" customWidth="1" bestFit="1" width="10.0" style="5"/>
    <col min="6167" max="6167" customWidth="1" bestFit="1" width="10.0" style="5"/>
    <col min="6168" max="6168" customWidth="1" bestFit="1" width="10.0" style="5"/>
    <col min="6169" max="6169" customWidth="1" bestFit="1" width="10.0" style="5"/>
    <col min="6170" max="6170" customWidth="1" bestFit="1" width="10.0" style="5"/>
    <col min="6171" max="6171" customWidth="1" bestFit="1" width="10.0" style="5"/>
    <col min="6172" max="6172" customWidth="1" bestFit="1" width="10.0" style="5"/>
    <col min="6173" max="6173" customWidth="1" bestFit="1" width="10.0" style="5"/>
    <col min="6174" max="6174" customWidth="1" bestFit="1" width="10.0" style="5"/>
    <col min="6175" max="6175" customWidth="1" bestFit="1" width="10.0" style="5"/>
    <col min="6176" max="6176" customWidth="1" bestFit="1" width="10.0" style="5"/>
    <col min="6177" max="6177" customWidth="1" bestFit="1" width="10.0" style="5"/>
    <col min="6178" max="6178" customWidth="1" bestFit="1" width="10.0" style="5"/>
    <col min="6179" max="6179" customWidth="1" bestFit="1" width="10.0" style="5"/>
    <col min="6180" max="6180" customWidth="1" bestFit="1" width="10.0" style="5"/>
    <col min="6181" max="6181" customWidth="1" bestFit="1" width="10.0" style="5"/>
    <col min="6182" max="6182" customWidth="1" bestFit="1" width="10.0" style="5"/>
    <col min="6183" max="6183" customWidth="1" bestFit="1" width="10.0" style="5"/>
    <col min="6184" max="6184" customWidth="1" bestFit="1" width="10.0" style="5"/>
    <col min="6185" max="6185" customWidth="1" bestFit="1" width="10.0" style="5"/>
    <col min="6186" max="6186" customWidth="1" bestFit="1" width="10.0" style="5"/>
    <col min="6187" max="6187" customWidth="1" bestFit="1" width="10.0" style="5"/>
    <col min="6188" max="6188" customWidth="1" bestFit="1" width="10.0" style="5"/>
    <col min="6189" max="6189" customWidth="1" bestFit="1" width="10.0" style="5"/>
    <col min="6190" max="6190" customWidth="1" bestFit="1" width="10.0" style="5"/>
    <col min="6191" max="6191" customWidth="1" bestFit="1" width="10.0" style="5"/>
    <col min="6192" max="6192" customWidth="1" bestFit="1" width="10.0" style="5"/>
    <col min="6193" max="6193" customWidth="1" bestFit="1" width="10.0" style="5"/>
    <col min="6194" max="6194" customWidth="1" bestFit="1" width="10.0" style="5"/>
    <col min="6195" max="6195" customWidth="1" bestFit="1" width="10.0" style="5"/>
    <col min="6196" max="6196" customWidth="1" bestFit="1" width="10.0" style="5"/>
    <col min="6197" max="6197" customWidth="1" bestFit="1" width="10.0" style="5"/>
    <col min="6198" max="6198" customWidth="1" bestFit="1" width="10.0" style="5"/>
    <col min="6199" max="6199" customWidth="1" bestFit="1" width="10.0" style="5"/>
    <col min="6200" max="6200" customWidth="1" bestFit="1" width="10.0" style="5"/>
    <col min="6201" max="6201" customWidth="1" bestFit="1" width="10.0" style="5"/>
    <col min="6202" max="6202" customWidth="1" bestFit="1" width="10.0" style="5"/>
    <col min="6203" max="6203" customWidth="1" bestFit="1" width="10.0" style="5"/>
    <col min="6204" max="6204" customWidth="1" bestFit="1" width="10.0" style="5"/>
    <col min="6205" max="6205" customWidth="1" bestFit="1" width="10.0" style="5"/>
    <col min="6206" max="6206" customWidth="1" bestFit="1" width="10.0" style="5"/>
    <col min="6207" max="6207" customWidth="1" bestFit="1" width="10.0" style="5"/>
    <col min="6208" max="6208" customWidth="1" bestFit="1" width="10.0" style="5"/>
    <col min="6209" max="6209" customWidth="1" bestFit="1" width="10.0" style="5"/>
    <col min="6210" max="6210" customWidth="1" bestFit="1" width="10.0" style="5"/>
    <col min="6211" max="6211" customWidth="1" bestFit="1" width="10.0" style="5"/>
    <col min="6212" max="6212" customWidth="1" bestFit="1" width="10.0" style="5"/>
    <col min="6213" max="6213" customWidth="1" bestFit="1" width="10.0" style="5"/>
    <col min="6214" max="6214" customWidth="1" bestFit="1" width="10.0" style="5"/>
    <col min="6215" max="6215" customWidth="1" bestFit="1" width="10.0" style="5"/>
    <col min="6216" max="6216" customWidth="1" bestFit="1" width="10.0" style="5"/>
    <col min="6217" max="6217" customWidth="1" bestFit="1" width="10.0" style="5"/>
    <col min="6218" max="6218" customWidth="1" bestFit="1" width="10.0" style="5"/>
    <col min="6219" max="6219" customWidth="1" bestFit="1" width="10.0" style="5"/>
    <col min="6220" max="6220" customWidth="1" bestFit="1" width="10.0" style="5"/>
    <col min="6221" max="6221" customWidth="1" bestFit="1" width="10.0" style="5"/>
    <col min="6222" max="6222" customWidth="1" bestFit="1" width="10.0" style="5"/>
    <col min="6223" max="6223" customWidth="1" bestFit="1" width="10.0" style="5"/>
    <col min="6224" max="6224" customWidth="1" bestFit="1" width="10.0" style="5"/>
    <col min="6225" max="6225" customWidth="1" bestFit="1" width="10.0" style="5"/>
    <col min="6226" max="6226" customWidth="1" bestFit="1" width="10.0" style="5"/>
    <col min="6227" max="6227" customWidth="1" bestFit="1" width="10.0" style="5"/>
    <col min="6228" max="6228" customWidth="1" bestFit="1" width="10.0" style="5"/>
    <col min="6229" max="6229" customWidth="1" bestFit="1" width="10.0" style="5"/>
    <col min="6230" max="6230" customWidth="1" bestFit="1" width="10.0" style="5"/>
    <col min="6231" max="6231" customWidth="1" bestFit="1" width="10.0" style="5"/>
    <col min="6232" max="6232" customWidth="1" bestFit="1" width="10.0" style="5"/>
    <col min="6233" max="6233" customWidth="1" bestFit="1" width="10.0" style="5"/>
    <col min="6234" max="6234" customWidth="1" bestFit="1" width="10.0" style="5"/>
    <col min="6235" max="6235" customWidth="1" bestFit="1" width="10.0" style="5"/>
    <col min="6236" max="6236" customWidth="1" bestFit="1" width="10.0" style="5"/>
    <col min="6237" max="6237" customWidth="1" bestFit="1" width="10.0" style="5"/>
    <col min="6238" max="6238" customWidth="1" bestFit="1" width="10.0" style="5"/>
    <col min="6239" max="6239" customWidth="1" bestFit="1" width="10.0" style="5"/>
    <col min="6240" max="6240" customWidth="1" bestFit="1" width="10.0" style="5"/>
    <col min="6241" max="6241" customWidth="1" bestFit="1" width="10.0" style="5"/>
    <col min="6242" max="6242" customWidth="1" bestFit="1" width="10.0" style="5"/>
    <col min="6243" max="6243" customWidth="1" bestFit="1" width="10.0" style="5"/>
    <col min="6244" max="6244" customWidth="1" bestFit="1" width="10.0" style="5"/>
    <col min="6245" max="6245" customWidth="1" bestFit="1" width="10.0" style="5"/>
    <col min="6246" max="6246" customWidth="1" bestFit="1" width="10.0" style="5"/>
    <col min="6247" max="6247" customWidth="1" bestFit="1" width="10.0" style="5"/>
    <col min="6248" max="6248" customWidth="1" bestFit="1" width="10.0" style="5"/>
    <col min="6249" max="6249" customWidth="1" bestFit="1" width="10.0" style="5"/>
    <col min="6250" max="6250" customWidth="1" bestFit="1" width="10.0" style="5"/>
    <col min="6251" max="6251" customWidth="1" bestFit="1" width="10.0" style="5"/>
    <col min="6252" max="6252" customWidth="1" bestFit="1" width="10.0" style="5"/>
    <col min="6253" max="6253" customWidth="1" bestFit="1" width="10.0" style="5"/>
    <col min="6254" max="6254" customWidth="1" bestFit="1" width="10.0" style="5"/>
    <col min="6255" max="6255" customWidth="1" bestFit="1" width="10.0" style="5"/>
    <col min="6256" max="6256" customWidth="1" bestFit="1" width="10.0" style="5"/>
    <col min="6257" max="6257" customWidth="1" bestFit="1" width="10.0" style="5"/>
    <col min="6258" max="6258" customWidth="1" bestFit="1" width="10.0" style="5"/>
    <col min="6259" max="6259" customWidth="1" bestFit="1" width="10.0" style="5"/>
    <col min="6260" max="6260" customWidth="1" bestFit="1" width="10.0" style="5"/>
    <col min="6261" max="6261" customWidth="1" bestFit="1" width="10.0" style="5"/>
    <col min="6262" max="6262" customWidth="1" bestFit="1" width="10.0" style="5"/>
    <col min="6263" max="6263" customWidth="1" bestFit="1" width="10.0" style="5"/>
    <col min="6264" max="6264" customWidth="1" bestFit="1" width="10.0" style="5"/>
    <col min="6265" max="6265" customWidth="1" bestFit="1" width="10.0" style="5"/>
    <col min="6266" max="6266" customWidth="1" bestFit="1" width="10.0" style="5"/>
    <col min="6267" max="6267" customWidth="1" bestFit="1" width="10.0" style="5"/>
    <col min="6268" max="6268" customWidth="1" bestFit="1" width="10.0" style="5"/>
    <col min="6269" max="6269" customWidth="1" bestFit="1" width="10.0" style="5"/>
    <col min="6270" max="6270" customWidth="1" bestFit="1" width="10.0" style="5"/>
    <col min="6271" max="6271" customWidth="1" bestFit="1" width="10.0" style="5"/>
    <col min="6272" max="6272" customWidth="1" bestFit="1" width="10.0" style="5"/>
    <col min="6273" max="6273" customWidth="1" bestFit="1" width="10.0" style="5"/>
    <col min="6274" max="6274" customWidth="1" bestFit="1" width="10.0" style="5"/>
    <col min="6275" max="6275" customWidth="1" bestFit="1" width="10.0" style="5"/>
    <col min="6276" max="6276" customWidth="1" bestFit="1" width="10.0" style="5"/>
    <col min="6277" max="6277" customWidth="1" bestFit="1" width="10.0" style="5"/>
    <col min="6278" max="6278" customWidth="1" bestFit="1" width="10.0" style="5"/>
    <col min="6279" max="6279" customWidth="1" bestFit="1" width="10.0" style="5"/>
    <col min="6280" max="6280" customWidth="1" bestFit="1" width="10.0" style="5"/>
    <col min="6281" max="6281" customWidth="1" bestFit="1" width="10.0" style="5"/>
    <col min="6282" max="6282" customWidth="1" bestFit="1" width="10.0" style="5"/>
    <col min="6283" max="6283" customWidth="1" bestFit="1" width="10.0" style="5"/>
    <col min="6284" max="6284" customWidth="1" bestFit="1" width="10.0" style="5"/>
    <col min="6285" max="6285" customWidth="1" bestFit="1" width="10.0" style="5"/>
    <col min="6286" max="6286" customWidth="1" bestFit="1" width="10.0" style="5"/>
    <col min="6287" max="6287" customWidth="1" bestFit="1" width="10.0" style="5"/>
    <col min="6288" max="6288" customWidth="1" bestFit="1" width="10.0" style="5"/>
    <col min="6289" max="6289" customWidth="1" bestFit="1" width="10.0" style="5"/>
    <col min="6290" max="6290" customWidth="1" bestFit="1" width="10.0" style="5"/>
    <col min="6291" max="6291" customWidth="1" bestFit="1" width="10.0" style="5"/>
    <col min="6292" max="6292" customWidth="1" bestFit="1" width="10.0" style="5"/>
    <col min="6293" max="6293" customWidth="1" bestFit="1" width="10.0" style="5"/>
    <col min="6294" max="6294" customWidth="1" bestFit="1" width="10.0" style="5"/>
    <col min="6295" max="6295" customWidth="1" bestFit="1" width="10.0" style="5"/>
    <col min="6296" max="6296" customWidth="1" bestFit="1" width="10.0" style="5"/>
    <col min="6297" max="6297" customWidth="1" bestFit="1" width="10.0" style="5"/>
    <col min="6298" max="6298" customWidth="1" bestFit="1" width="10.0" style="5"/>
    <col min="6299" max="6299" customWidth="1" bestFit="1" width="10.0" style="5"/>
    <col min="6300" max="6300" customWidth="1" bestFit="1" width="10.0" style="5"/>
    <col min="6301" max="6301" customWidth="1" bestFit="1" width="10.0" style="5"/>
    <col min="6302" max="6302" customWidth="1" bestFit="1" width="10.0" style="5"/>
    <col min="6303" max="6303" customWidth="1" bestFit="1" width="10.0" style="5"/>
    <col min="6304" max="6304" customWidth="1" bestFit="1" width="10.0" style="5"/>
    <col min="6305" max="6305" customWidth="1" bestFit="1" width="10.0" style="5"/>
    <col min="6306" max="6306" customWidth="1" bestFit="1" width="10.0" style="5"/>
    <col min="6307" max="6307" customWidth="1" bestFit="1" width="10.0" style="5"/>
    <col min="6308" max="6308" customWidth="1" bestFit="1" width="10.0" style="5"/>
    <col min="6309" max="6309" customWidth="1" bestFit="1" width="10.0" style="5"/>
    <col min="6310" max="6310" customWidth="1" bestFit="1" width="10.0" style="5"/>
    <col min="6311" max="6311" customWidth="1" bestFit="1" width="10.0" style="5"/>
    <col min="6312" max="6312" customWidth="1" bestFit="1" width="10.0" style="5"/>
    <col min="6313" max="6313" customWidth="1" bestFit="1" width="10.0" style="5"/>
    <col min="6314" max="6314" customWidth="1" bestFit="1" width="10.0" style="5"/>
    <col min="6315" max="6315" customWidth="1" bestFit="1" width="10.0" style="5"/>
    <col min="6316" max="6316" customWidth="1" bestFit="1" width="10.0" style="5"/>
    <col min="6317" max="6317" customWidth="1" bestFit="1" width="10.0" style="5"/>
    <col min="6318" max="6318" customWidth="1" bestFit="1" width="10.0" style="5"/>
    <col min="6319" max="6319" customWidth="1" bestFit="1" width="10.0" style="5"/>
    <col min="6320" max="6320" customWidth="1" bestFit="1" width="10.0" style="5"/>
    <col min="6321" max="6321" customWidth="1" bestFit="1" width="10.0" style="5"/>
    <col min="6322" max="6322" customWidth="1" bestFit="1" width="10.0" style="5"/>
    <col min="6323" max="6323" customWidth="1" bestFit="1" width="10.0" style="5"/>
    <col min="6324" max="6324" customWidth="1" bestFit="1" width="10.0" style="5"/>
    <col min="6325" max="6325" customWidth="1" bestFit="1" width="10.0" style="5"/>
    <col min="6326" max="6326" customWidth="1" bestFit="1" width="10.0" style="5"/>
    <col min="6327" max="6327" customWidth="1" bestFit="1" width="10.0" style="5"/>
    <col min="6328" max="6328" customWidth="1" bestFit="1" width="10.0" style="5"/>
    <col min="6329" max="6329" customWidth="1" bestFit="1" width="10.0" style="5"/>
    <col min="6330" max="6330" customWidth="1" bestFit="1" width="10.0" style="5"/>
    <col min="6331" max="6331" customWidth="1" bestFit="1" width="10.0" style="5"/>
    <col min="6332" max="6332" customWidth="1" bestFit="1" width="10.0" style="5"/>
    <col min="6333" max="6333" customWidth="1" bestFit="1" width="10.0" style="5"/>
    <col min="6334" max="6334" customWidth="1" bestFit="1" width="10.0" style="5"/>
    <col min="6335" max="6335" customWidth="1" bestFit="1" width="10.0" style="5"/>
    <col min="6336" max="6336" customWidth="1" bestFit="1" width="10.0" style="5"/>
    <col min="6337" max="6337" customWidth="1" bestFit="1" width="10.0" style="5"/>
    <col min="6338" max="6338" customWidth="1" bestFit="1" width="10.0" style="5"/>
    <col min="6339" max="6339" customWidth="1" bestFit="1" width="10.0" style="5"/>
    <col min="6340" max="6340" customWidth="1" bestFit="1" width="10.0" style="5"/>
    <col min="6341" max="6341" customWidth="1" bestFit="1" width="10.0" style="5"/>
    <col min="6342" max="6342" customWidth="1" bestFit="1" width="10.0" style="5"/>
    <col min="6343" max="6343" customWidth="1" bestFit="1" width="10.0" style="5"/>
    <col min="6344" max="6344" customWidth="1" bestFit="1" width="10.0" style="5"/>
    <col min="6345" max="6345" customWidth="1" bestFit="1" width="10.0" style="5"/>
    <col min="6346" max="6346" customWidth="1" bestFit="1" width="10.0" style="5"/>
    <col min="6347" max="6347" customWidth="1" bestFit="1" width="10.0" style="5"/>
    <col min="6348" max="6348" customWidth="1" bestFit="1" width="10.0" style="5"/>
    <col min="6349" max="6349" customWidth="1" bestFit="1" width="10.0" style="5"/>
    <col min="6350" max="6350" customWidth="1" bestFit="1" width="10.0" style="5"/>
    <col min="6351" max="6351" customWidth="1" bestFit="1" width="10.0" style="5"/>
    <col min="6352" max="6352" customWidth="1" bestFit="1" width="10.0" style="5"/>
    <col min="6353" max="6353" customWidth="1" bestFit="1" width="10.0" style="5"/>
    <col min="6354" max="6354" customWidth="1" bestFit="1" width="10.0" style="5"/>
    <col min="6355" max="6355" customWidth="1" bestFit="1" width="10.0" style="5"/>
    <col min="6356" max="6356" customWidth="1" bestFit="1" width="10.0" style="5"/>
    <col min="6357" max="6357" customWidth="1" bestFit="1" width="10.0" style="5"/>
    <col min="6358" max="6358" customWidth="1" bestFit="1" width="10.0" style="5"/>
    <col min="6359" max="6359" customWidth="1" bestFit="1" width="10.0" style="5"/>
    <col min="6360" max="6360" customWidth="1" bestFit="1" width="10.0" style="5"/>
    <col min="6361" max="6361" customWidth="1" bestFit="1" width="10.0" style="5"/>
    <col min="6362" max="6362" customWidth="1" bestFit="1" width="10.0" style="5"/>
    <col min="6363" max="6363" customWidth="1" bestFit="1" width="10.0" style="5"/>
    <col min="6364" max="6364" customWidth="1" bestFit="1" width="10.0" style="5"/>
    <col min="6365" max="6365" customWidth="1" bestFit="1" width="10.0" style="5"/>
    <col min="6366" max="6366" customWidth="1" bestFit="1" width="10.0" style="5"/>
    <col min="6367" max="6367" customWidth="1" bestFit="1" width="10.0" style="5"/>
    <col min="6368" max="6368" customWidth="1" bestFit="1" width="10.0" style="5"/>
    <col min="6369" max="6369" customWidth="1" bestFit="1" width="10.0" style="5"/>
    <col min="6370" max="6370" customWidth="1" bestFit="1" width="10.0" style="5"/>
    <col min="6371" max="6371" customWidth="1" bestFit="1" width="10.0" style="5"/>
    <col min="6372" max="6372" customWidth="1" bestFit="1" width="10.0" style="5"/>
    <col min="6373" max="6373" customWidth="1" bestFit="1" width="10.0" style="5"/>
    <col min="6374" max="6374" customWidth="1" bestFit="1" width="10.0" style="5"/>
    <col min="6375" max="6375" customWidth="1" bestFit="1" width="10.0" style="5"/>
    <col min="6376" max="6376" customWidth="1" bestFit="1" width="10.0" style="5"/>
    <col min="6377" max="6377" customWidth="1" bestFit="1" width="10.0" style="5"/>
    <col min="6378" max="6378" customWidth="1" bestFit="1" width="10.0" style="5"/>
    <col min="6379" max="6379" customWidth="1" bestFit="1" width="10.0" style="5"/>
    <col min="6380" max="6380" customWidth="1" bestFit="1" width="10.0" style="5"/>
    <col min="6381" max="6381" customWidth="1" bestFit="1" width="10.0" style="5"/>
    <col min="6382" max="6382" customWidth="1" bestFit="1" width="10.0" style="5"/>
    <col min="6383" max="6383" customWidth="1" bestFit="1" width="10.0" style="5"/>
    <col min="6384" max="6384" customWidth="1" bestFit="1" width="10.0" style="5"/>
    <col min="6385" max="6385" customWidth="1" bestFit="1" width="10.0" style="5"/>
    <col min="6386" max="6386" customWidth="1" bestFit="1" width="10.0" style="5"/>
    <col min="6387" max="6387" customWidth="1" bestFit="1" width="10.0" style="5"/>
    <col min="6388" max="6388" customWidth="1" bestFit="1" width="10.0" style="5"/>
    <col min="6389" max="6389" customWidth="1" bestFit="1" width="10.0" style="5"/>
    <col min="6390" max="6390" customWidth="1" bestFit="1" width="10.0" style="5"/>
    <col min="6391" max="6391" customWidth="1" bestFit="1" width="10.0" style="5"/>
    <col min="6392" max="6392" customWidth="1" bestFit="1" width="10.0" style="5"/>
    <col min="6393" max="6393" customWidth="1" bestFit="1" width="10.0" style="5"/>
    <col min="6394" max="6394" customWidth="1" bestFit="1" width="10.0" style="5"/>
    <col min="6395" max="6395" customWidth="1" bestFit="1" width="10.0" style="5"/>
    <col min="6396" max="6396" customWidth="1" bestFit="1" width="10.0" style="5"/>
    <col min="6397" max="6397" customWidth="1" bestFit="1" width="10.0" style="5"/>
    <col min="6398" max="6398" customWidth="1" bestFit="1" width="10.0" style="5"/>
    <col min="6399" max="6399" customWidth="1" bestFit="1" width="10.0" style="5"/>
    <col min="6400" max="6400" customWidth="1" bestFit="1" width="10.0" style="5"/>
    <col min="6401" max="6401" customWidth="1" bestFit="1" width="10.0" style="5"/>
    <col min="6402" max="6402" customWidth="1" bestFit="1" width="10.0" style="5"/>
    <col min="6403" max="6403" customWidth="1" bestFit="1" width="10.0" style="5"/>
    <col min="6404" max="6404" customWidth="1" bestFit="1" width="10.0" style="5"/>
    <col min="6405" max="6405" customWidth="1" bestFit="1" width="10.0" style="5"/>
    <col min="6406" max="6406" customWidth="1" bestFit="1" width="10.0" style="5"/>
    <col min="6407" max="6407" customWidth="1" bestFit="1" width="10.0" style="5"/>
    <col min="6408" max="6408" customWidth="1" bestFit="1" width="10.0" style="5"/>
    <col min="6409" max="6409" customWidth="1" bestFit="1" width="10.0" style="5"/>
    <col min="6410" max="6410" customWidth="1" bestFit="1" width="10.0" style="5"/>
    <col min="6411" max="6411" customWidth="1" bestFit="1" width="10.0" style="5"/>
    <col min="6412" max="6412" customWidth="1" bestFit="1" width="10.0" style="5"/>
    <col min="6413" max="6413" customWidth="1" bestFit="1" width="10.0" style="5"/>
    <col min="6414" max="6414" customWidth="1" bestFit="1" width="10.0" style="5"/>
    <col min="6415" max="6415" customWidth="1" bestFit="1" width="10.0" style="5"/>
    <col min="6416" max="6416" customWidth="1" bestFit="1" width="10.0" style="5"/>
    <col min="6417" max="6417" customWidth="1" bestFit="1" width="10.0" style="5"/>
    <col min="6418" max="6418" customWidth="1" bestFit="1" width="10.0" style="5"/>
    <col min="6419" max="6419" customWidth="1" bestFit="1" width="10.0" style="5"/>
    <col min="6420" max="6420" customWidth="1" bestFit="1" width="10.0" style="5"/>
    <col min="6421" max="6421" customWidth="1" bestFit="1" width="10.0" style="5"/>
    <col min="6422" max="6422" customWidth="1" bestFit="1" width="10.0" style="5"/>
    <col min="6423" max="6423" customWidth="1" bestFit="1" width="10.0" style="5"/>
    <col min="6424" max="6424" customWidth="1" bestFit="1" width="10.0" style="5"/>
    <col min="6425" max="6425" customWidth="1" bestFit="1" width="10.0" style="5"/>
    <col min="6426" max="6426" customWidth="1" bestFit="1" width="10.0" style="5"/>
    <col min="6427" max="6427" customWidth="1" bestFit="1" width="10.0" style="5"/>
    <col min="6428" max="6428" customWidth="1" bestFit="1" width="10.0" style="5"/>
    <col min="6429" max="6429" customWidth="1" bestFit="1" width="10.0" style="5"/>
    <col min="6430" max="6430" customWidth="1" bestFit="1" width="10.0" style="5"/>
    <col min="6431" max="6431" customWidth="1" bestFit="1" width="10.0" style="5"/>
    <col min="6432" max="6432" customWidth="1" bestFit="1" width="10.0" style="5"/>
    <col min="6433" max="6433" customWidth="1" bestFit="1" width="10.0" style="5"/>
    <col min="6434" max="6434" customWidth="1" bestFit="1" width="10.0" style="5"/>
    <col min="6435" max="6435" customWidth="1" bestFit="1" width="10.0" style="5"/>
    <col min="6436" max="6436" customWidth="1" bestFit="1" width="10.0" style="5"/>
    <col min="6437" max="6437" customWidth="1" bestFit="1" width="10.0" style="5"/>
    <col min="6438" max="6438" customWidth="1" bestFit="1" width="10.0" style="5"/>
    <col min="6439" max="6439" customWidth="1" bestFit="1" width="10.0" style="5"/>
    <col min="6440" max="6440" customWidth="1" bestFit="1" width="10.0" style="5"/>
    <col min="6441" max="6441" customWidth="1" bestFit="1" width="10.0" style="5"/>
    <col min="6442" max="6442" customWidth="1" bestFit="1" width="10.0" style="5"/>
    <col min="6443" max="6443" customWidth="1" bestFit="1" width="10.0" style="5"/>
    <col min="6444" max="6444" customWidth="1" bestFit="1" width="10.0" style="5"/>
    <col min="6445" max="6445" customWidth="1" bestFit="1" width="10.0" style="5"/>
    <col min="6446" max="6446" customWidth="1" bestFit="1" width="10.0" style="5"/>
    <col min="6447" max="6447" customWidth="1" bestFit="1" width="10.0" style="5"/>
    <col min="6448" max="6448" customWidth="1" bestFit="1" width="10.0" style="5"/>
    <col min="6449" max="6449" customWidth="1" bestFit="1" width="10.0" style="5"/>
    <col min="6450" max="6450" customWidth="1" bestFit="1" width="10.0" style="5"/>
    <col min="6451" max="6451" customWidth="1" bestFit="1" width="10.0" style="5"/>
    <col min="6452" max="6452" customWidth="1" bestFit="1" width="10.0" style="5"/>
    <col min="6453" max="6453" customWidth="1" bestFit="1" width="10.0" style="5"/>
    <col min="6454" max="6454" customWidth="1" bestFit="1" width="10.0" style="5"/>
    <col min="6455" max="6455" customWidth="1" bestFit="1" width="10.0" style="5"/>
    <col min="6456" max="6456" customWidth="1" bestFit="1" width="10.0" style="5"/>
    <col min="6457" max="6457" customWidth="1" bestFit="1" width="10.0" style="5"/>
    <col min="6458" max="6458" customWidth="1" bestFit="1" width="10.0" style="5"/>
    <col min="6459" max="6459" customWidth="1" bestFit="1" width="10.0" style="5"/>
    <col min="6460" max="6460" customWidth="1" bestFit="1" width="10.0" style="5"/>
    <col min="6461" max="6461" customWidth="1" bestFit="1" width="10.0" style="5"/>
    <col min="6462" max="6462" customWidth="1" bestFit="1" width="10.0" style="5"/>
    <col min="6463" max="6463" customWidth="1" bestFit="1" width="10.0" style="5"/>
    <col min="6464" max="6464" customWidth="1" bestFit="1" width="10.0" style="5"/>
    <col min="6465" max="6465" customWidth="1" bestFit="1" width="10.0" style="5"/>
    <col min="6466" max="6466" customWidth="1" bestFit="1" width="10.0" style="5"/>
    <col min="6467" max="6467" customWidth="1" bestFit="1" width="10.0" style="5"/>
    <col min="6468" max="6468" customWidth="1" bestFit="1" width="10.0" style="5"/>
    <col min="6469" max="6469" customWidth="1" bestFit="1" width="10.0" style="5"/>
    <col min="6470" max="6470" customWidth="1" bestFit="1" width="10.0" style="5"/>
    <col min="6471" max="6471" customWidth="1" bestFit="1" width="10.0" style="5"/>
    <col min="6472" max="6472" customWidth="1" bestFit="1" width="10.0" style="5"/>
    <col min="6473" max="6473" customWidth="1" bestFit="1" width="10.0" style="5"/>
    <col min="6474" max="6474" customWidth="1" bestFit="1" width="10.0" style="5"/>
    <col min="6475" max="6475" customWidth="1" bestFit="1" width="10.0" style="5"/>
    <col min="6476" max="6476" customWidth="1" bestFit="1" width="10.0" style="5"/>
    <col min="6477" max="6477" customWidth="1" bestFit="1" width="10.0" style="5"/>
    <col min="6478" max="6478" customWidth="1" bestFit="1" width="10.0" style="5"/>
    <col min="6479" max="6479" customWidth="1" bestFit="1" width="10.0" style="5"/>
    <col min="6480" max="6480" customWidth="1" bestFit="1" width="10.0" style="5"/>
    <col min="6481" max="6481" customWidth="1" bestFit="1" width="10.0" style="5"/>
    <col min="6482" max="6482" customWidth="1" bestFit="1" width="10.0" style="5"/>
    <col min="6483" max="6483" customWidth="1" bestFit="1" width="10.0" style="5"/>
    <col min="6484" max="6484" customWidth="1" bestFit="1" width="10.0" style="5"/>
    <col min="6485" max="6485" customWidth="1" bestFit="1" width="10.0" style="5"/>
    <col min="6486" max="6486" customWidth="1" bestFit="1" width="10.0" style="5"/>
    <col min="6487" max="6487" customWidth="1" bestFit="1" width="10.0" style="5"/>
    <col min="6488" max="6488" customWidth="1" bestFit="1" width="10.0" style="5"/>
    <col min="6489" max="6489" customWidth="1" bestFit="1" width="10.0" style="5"/>
    <col min="6490" max="6490" customWidth="1" bestFit="1" width="10.0" style="5"/>
    <col min="6491" max="6491" customWidth="1" bestFit="1" width="10.0" style="5"/>
    <col min="6492" max="6492" customWidth="1" bestFit="1" width="10.0" style="5"/>
    <col min="6493" max="6493" customWidth="1" bestFit="1" width="10.0" style="5"/>
    <col min="6494" max="6494" customWidth="1" bestFit="1" width="10.0" style="5"/>
    <col min="6495" max="6495" customWidth="1" bestFit="1" width="10.0" style="5"/>
    <col min="6496" max="6496" customWidth="1" bestFit="1" width="10.0" style="5"/>
    <col min="6497" max="6497" customWidth="1" bestFit="1" width="10.0" style="5"/>
    <col min="6498" max="6498" customWidth="1" bestFit="1" width="10.0" style="5"/>
    <col min="6499" max="6499" customWidth="1" bestFit="1" width="10.0" style="5"/>
    <col min="6500" max="6500" customWidth="1" bestFit="1" width="10.0" style="5"/>
    <col min="6501" max="6501" customWidth="1" bestFit="1" width="10.0" style="5"/>
    <col min="6502" max="6502" customWidth="1" bestFit="1" width="10.0" style="5"/>
    <col min="6503" max="6503" customWidth="1" bestFit="1" width="10.0" style="5"/>
    <col min="6504" max="6504" customWidth="1" bestFit="1" width="10.0" style="5"/>
    <col min="6505" max="6505" customWidth="1" bestFit="1" width="10.0" style="5"/>
    <col min="6506" max="6506" customWidth="1" bestFit="1" width="10.0" style="5"/>
    <col min="6507" max="6507" customWidth="1" bestFit="1" width="10.0" style="5"/>
    <col min="6508" max="6508" customWidth="1" bestFit="1" width="10.0" style="5"/>
    <col min="6509" max="6509" customWidth="1" bestFit="1" width="10.0" style="5"/>
    <col min="6510" max="6510" customWidth="1" bestFit="1" width="10.0" style="5"/>
    <col min="6511" max="6511" customWidth="1" bestFit="1" width="10.0" style="5"/>
    <col min="6512" max="6512" customWidth="1" bestFit="1" width="10.0" style="5"/>
    <col min="6513" max="6513" customWidth="1" bestFit="1" width="10.0" style="5"/>
    <col min="6514" max="6514" customWidth="1" bestFit="1" width="10.0" style="5"/>
    <col min="6515" max="6515" customWidth="1" bestFit="1" width="10.0" style="5"/>
    <col min="6516" max="6516" customWidth="1" bestFit="1" width="10.0" style="5"/>
    <col min="6517" max="6517" customWidth="1" bestFit="1" width="10.0" style="5"/>
    <col min="6518" max="6518" customWidth="1" bestFit="1" width="10.0" style="5"/>
    <col min="6519" max="6519" customWidth="1" bestFit="1" width="10.0" style="5"/>
    <col min="6520" max="6520" customWidth="1" bestFit="1" width="10.0" style="5"/>
    <col min="6521" max="6521" customWidth="1" bestFit="1" width="10.0" style="5"/>
    <col min="6522" max="6522" customWidth="1" bestFit="1" width="10.0" style="5"/>
    <col min="6523" max="6523" customWidth="1" bestFit="1" width="10.0" style="5"/>
    <col min="6524" max="6524" customWidth="1" bestFit="1" width="10.0" style="5"/>
    <col min="6525" max="6525" customWidth="1" bestFit="1" width="10.0" style="5"/>
    <col min="6526" max="6526" customWidth="1" bestFit="1" width="10.0" style="5"/>
    <col min="6527" max="6527" customWidth="1" bestFit="1" width="10.0" style="5"/>
    <col min="6528" max="6528" customWidth="1" bestFit="1" width="10.0" style="5"/>
    <col min="6529" max="6529" customWidth="1" bestFit="1" width="10.0" style="5"/>
    <col min="6530" max="6530" customWidth="1" bestFit="1" width="10.0" style="5"/>
    <col min="6531" max="6531" customWidth="1" bestFit="1" width="10.0" style="5"/>
    <col min="6532" max="6532" customWidth="1" bestFit="1" width="10.0" style="5"/>
    <col min="6533" max="6533" customWidth="1" bestFit="1" width="10.0" style="5"/>
    <col min="6534" max="6534" customWidth="1" bestFit="1" width="10.0" style="5"/>
    <col min="6535" max="6535" customWidth="1" bestFit="1" width="10.0" style="5"/>
    <col min="6536" max="6536" customWidth="1" bestFit="1" width="10.0" style="5"/>
    <col min="6537" max="6537" customWidth="1" bestFit="1" width="10.0" style="5"/>
    <col min="6538" max="6538" customWidth="1" bestFit="1" width="10.0" style="5"/>
    <col min="6539" max="6539" customWidth="1" bestFit="1" width="10.0" style="5"/>
    <col min="6540" max="6540" customWidth="1" bestFit="1" width="10.0" style="5"/>
    <col min="6541" max="6541" customWidth="1" bestFit="1" width="10.0" style="5"/>
    <col min="6542" max="6542" customWidth="1" bestFit="1" width="10.0" style="5"/>
    <col min="6543" max="6543" customWidth="1" bestFit="1" width="10.0" style="5"/>
    <col min="6544" max="6544" customWidth="1" bestFit="1" width="10.0" style="5"/>
    <col min="6545" max="6545" customWidth="1" bestFit="1" width="10.0" style="5"/>
    <col min="6546" max="6546" customWidth="1" bestFit="1" width="10.0" style="5"/>
    <col min="6547" max="6547" customWidth="1" bestFit="1" width="10.0" style="5"/>
    <col min="6548" max="6548" customWidth="1" bestFit="1" width="10.0" style="5"/>
    <col min="6549" max="6549" customWidth="1" bestFit="1" width="10.0" style="5"/>
    <col min="6550" max="6550" customWidth="1" bestFit="1" width="10.0" style="5"/>
    <col min="6551" max="6551" customWidth="1" bestFit="1" width="10.0" style="5"/>
    <col min="6552" max="6552" customWidth="1" bestFit="1" width="10.0" style="5"/>
    <col min="6553" max="6553" customWidth="1" bestFit="1" width="10.0" style="5"/>
    <col min="6554" max="6554" customWidth="1" bestFit="1" width="10.0" style="5"/>
    <col min="6555" max="6555" customWidth="1" bestFit="1" width="10.0" style="5"/>
    <col min="6556" max="6556" customWidth="1" bestFit="1" width="10.0" style="5"/>
    <col min="6557" max="6557" customWidth="1" bestFit="1" width="10.0" style="5"/>
    <col min="6558" max="6558" customWidth="1" bestFit="1" width="10.0" style="5"/>
    <col min="6559" max="6559" customWidth="1" bestFit="1" width="10.0" style="5"/>
    <col min="6560" max="6560" customWidth="1" bestFit="1" width="10.0" style="5"/>
    <col min="6561" max="6561" customWidth="1" bestFit="1" width="10.0" style="5"/>
    <col min="6562" max="6562" customWidth="1" bestFit="1" width="10.0" style="5"/>
    <col min="6563" max="6563" customWidth="1" bestFit="1" width="10.0" style="5"/>
    <col min="6564" max="6564" customWidth="1" bestFit="1" width="10.0" style="5"/>
    <col min="6565" max="6565" customWidth="1" bestFit="1" width="10.0" style="5"/>
    <col min="6566" max="6566" customWidth="1" bestFit="1" width="10.0" style="5"/>
    <col min="6567" max="6567" customWidth="1" bestFit="1" width="10.0" style="5"/>
    <col min="6568" max="6568" customWidth="1" bestFit="1" width="10.0" style="5"/>
    <col min="6569" max="6569" customWidth="1" bestFit="1" width="10.0" style="5"/>
    <col min="6570" max="6570" customWidth="1" bestFit="1" width="10.0" style="5"/>
    <col min="6571" max="6571" customWidth="1" bestFit="1" width="10.0" style="5"/>
    <col min="6572" max="6572" customWidth="1" bestFit="1" width="10.0" style="5"/>
    <col min="6573" max="6573" customWidth="1" bestFit="1" width="10.0" style="5"/>
    <col min="6574" max="6574" customWidth="1" bestFit="1" width="10.0" style="5"/>
    <col min="6575" max="6575" customWidth="1" bestFit="1" width="10.0" style="5"/>
    <col min="6576" max="6576" customWidth="1" bestFit="1" width="10.0" style="5"/>
    <col min="6577" max="6577" customWidth="1" bestFit="1" width="10.0" style="5"/>
    <col min="6578" max="6578" customWidth="1" bestFit="1" width="10.0" style="5"/>
    <col min="6579" max="6579" customWidth="1" bestFit="1" width="10.0" style="5"/>
    <col min="6580" max="6580" customWidth="1" bestFit="1" width="10.0" style="5"/>
    <col min="6581" max="6581" customWidth="1" bestFit="1" width="10.0" style="5"/>
    <col min="6582" max="6582" customWidth="1" bestFit="1" width="10.0" style="5"/>
    <col min="6583" max="6583" customWidth="1" bestFit="1" width="10.0" style="5"/>
    <col min="6584" max="6584" customWidth="1" bestFit="1" width="10.0" style="5"/>
    <col min="6585" max="6585" customWidth="1" bestFit="1" width="10.0" style="5"/>
    <col min="6586" max="6586" customWidth="1" bestFit="1" width="10.0" style="5"/>
    <col min="6587" max="6587" customWidth="1" bestFit="1" width="10.0" style="5"/>
    <col min="6588" max="6588" customWidth="1" bestFit="1" width="10.0" style="5"/>
    <col min="6589" max="6589" customWidth="1" bestFit="1" width="10.0" style="5"/>
    <col min="6590" max="6590" customWidth="1" bestFit="1" width="10.0" style="5"/>
    <col min="6591" max="6591" customWidth="1" bestFit="1" width="10.0" style="5"/>
    <col min="6592" max="6592" customWidth="1" bestFit="1" width="10.0" style="5"/>
    <col min="6593" max="6593" customWidth="1" bestFit="1" width="10.0" style="5"/>
    <col min="6594" max="6594" customWidth="1" bestFit="1" width="10.0" style="5"/>
    <col min="6595" max="6595" customWidth="1" bestFit="1" width="10.0" style="5"/>
    <col min="6596" max="6596" customWidth="1" bestFit="1" width="10.0" style="5"/>
    <col min="6597" max="6597" customWidth="1" bestFit="1" width="10.0" style="5"/>
    <col min="6598" max="6598" customWidth="1" bestFit="1" width="10.0" style="5"/>
    <col min="6599" max="6599" customWidth="1" bestFit="1" width="10.0" style="5"/>
    <col min="6600" max="6600" customWidth="1" bestFit="1" width="10.0" style="5"/>
    <col min="6601" max="6601" customWidth="1" bestFit="1" width="10.0" style="5"/>
    <col min="6602" max="6602" customWidth="1" bestFit="1" width="10.0" style="5"/>
    <col min="6603" max="6603" customWidth="1" bestFit="1" width="10.0" style="5"/>
    <col min="6604" max="6604" customWidth="1" bestFit="1" width="10.0" style="5"/>
    <col min="6605" max="6605" customWidth="1" bestFit="1" width="10.0" style="5"/>
    <col min="6606" max="6606" customWidth="1" bestFit="1" width="10.0" style="5"/>
    <col min="6607" max="6607" customWidth="1" bestFit="1" width="10.0" style="5"/>
    <col min="6608" max="6608" customWidth="1" bestFit="1" width="10.0" style="5"/>
    <col min="6609" max="6609" customWidth="1" bestFit="1" width="10.0" style="5"/>
    <col min="6610" max="6610" customWidth="1" bestFit="1" width="10.0" style="5"/>
    <col min="6611" max="6611" customWidth="1" bestFit="1" width="10.0" style="5"/>
    <col min="6612" max="6612" customWidth="1" bestFit="1" width="10.0" style="5"/>
    <col min="6613" max="6613" customWidth="1" bestFit="1" width="10.0" style="5"/>
    <col min="6614" max="6614" customWidth="1" bestFit="1" width="10.0" style="5"/>
    <col min="6615" max="6615" customWidth="1" bestFit="1" width="10.0" style="5"/>
    <col min="6616" max="6616" customWidth="1" bestFit="1" width="10.0" style="5"/>
    <col min="6617" max="6617" customWidth="1" bestFit="1" width="10.0" style="5"/>
    <col min="6618" max="6618" customWidth="1" bestFit="1" width="10.0" style="5"/>
    <col min="6619" max="6619" customWidth="1" bestFit="1" width="10.0" style="5"/>
    <col min="6620" max="6620" customWidth="1" bestFit="1" width="10.0" style="5"/>
    <col min="6621" max="6621" customWidth="1" bestFit="1" width="10.0" style="5"/>
    <col min="6622" max="6622" customWidth="1" bestFit="1" width="10.0" style="5"/>
    <col min="6623" max="6623" customWidth="1" bestFit="1" width="10.0" style="5"/>
    <col min="6624" max="6624" customWidth="1" bestFit="1" width="10.0" style="5"/>
    <col min="6625" max="6625" customWidth="1" bestFit="1" width="10.0" style="5"/>
    <col min="6626" max="6626" customWidth="1" bestFit="1" width="10.0" style="5"/>
    <col min="6627" max="6627" customWidth="1" bestFit="1" width="10.0" style="5"/>
    <col min="6628" max="6628" customWidth="1" bestFit="1" width="10.0" style="5"/>
    <col min="6629" max="6629" customWidth="1" bestFit="1" width="10.0" style="5"/>
    <col min="6630" max="6630" customWidth="1" bestFit="1" width="10.0" style="5"/>
    <col min="6631" max="6631" customWidth="1" bestFit="1" width="10.0" style="5"/>
    <col min="6632" max="6632" customWidth="1" bestFit="1" width="10.0" style="5"/>
    <col min="6633" max="6633" customWidth="1" bestFit="1" width="10.0" style="5"/>
    <col min="6634" max="6634" customWidth="1" bestFit="1" width="10.0" style="5"/>
    <col min="6635" max="6635" customWidth="1" bestFit="1" width="10.0" style="5"/>
    <col min="6636" max="6636" customWidth="1" bestFit="1" width="10.0" style="5"/>
    <col min="6637" max="6637" customWidth="1" bestFit="1" width="10.0" style="5"/>
    <col min="6638" max="6638" customWidth="1" bestFit="1" width="10.0" style="5"/>
    <col min="6639" max="6639" customWidth="1" bestFit="1" width="10.0" style="5"/>
    <col min="6640" max="6640" customWidth="1" bestFit="1" width="10.0" style="5"/>
    <col min="6641" max="6641" customWidth="1" bestFit="1" width="10.0" style="5"/>
    <col min="6642" max="6642" customWidth="1" bestFit="1" width="10.0" style="5"/>
    <col min="6643" max="6643" customWidth="1" bestFit="1" width="10.0" style="5"/>
    <col min="6644" max="6644" customWidth="1" bestFit="1" width="10.0" style="5"/>
    <col min="6645" max="6645" customWidth="1" bestFit="1" width="10.0" style="5"/>
    <col min="6646" max="6646" customWidth="1" bestFit="1" width="10.0" style="5"/>
    <col min="6647" max="6647" customWidth="1" bestFit="1" width="10.0" style="5"/>
    <col min="6648" max="6648" customWidth="1" bestFit="1" width="10.0" style="5"/>
    <col min="6649" max="6649" customWidth="1" bestFit="1" width="10.0" style="5"/>
    <col min="6650" max="6650" customWidth="1" bestFit="1" width="10.0" style="5"/>
    <col min="6651" max="6651" customWidth="1" bestFit="1" width="10.0" style="5"/>
    <col min="6652" max="6652" customWidth="1" bestFit="1" width="10.0" style="5"/>
    <col min="6653" max="6653" customWidth="1" bestFit="1" width="10.0" style="5"/>
    <col min="6654" max="6654" customWidth="1" bestFit="1" width="10.0" style="5"/>
    <col min="6655" max="6655" customWidth="1" bestFit="1" width="10.0" style="5"/>
    <col min="6656" max="6656" customWidth="1" bestFit="1" width="10.0" style="5"/>
    <col min="6657" max="6657" customWidth="1" bestFit="1" width="10.0" style="5"/>
    <col min="6658" max="6658" customWidth="1" bestFit="1" width="10.0" style="5"/>
    <col min="6659" max="6659" customWidth="1" bestFit="1" width="10.0" style="5"/>
    <col min="6660" max="6660" customWidth="1" bestFit="1" width="10.0" style="5"/>
    <col min="6661" max="6661" customWidth="1" bestFit="1" width="10.0" style="5"/>
    <col min="6662" max="6662" customWidth="1" bestFit="1" width="10.0" style="5"/>
    <col min="6663" max="6663" customWidth="1" bestFit="1" width="10.0" style="5"/>
    <col min="6664" max="6664" customWidth="1" bestFit="1" width="10.0" style="5"/>
    <col min="6665" max="6665" customWidth="1" bestFit="1" width="10.0" style="5"/>
    <col min="6666" max="6666" customWidth="1" bestFit="1" width="10.0" style="5"/>
    <col min="6667" max="6667" customWidth="1" bestFit="1" width="10.0" style="5"/>
    <col min="6668" max="6668" customWidth="1" bestFit="1" width="10.0" style="5"/>
    <col min="6669" max="6669" customWidth="1" bestFit="1" width="10.0" style="5"/>
    <col min="6670" max="6670" customWidth="1" bestFit="1" width="10.0" style="5"/>
    <col min="6671" max="6671" customWidth="1" bestFit="1" width="10.0" style="5"/>
    <col min="6672" max="6672" customWidth="1" bestFit="1" width="10.0" style="5"/>
    <col min="6673" max="6673" customWidth="1" bestFit="1" width="10.0" style="5"/>
    <col min="6674" max="6674" customWidth="1" bestFit="1" width="10.0" style="5"/>
    <col min="6675" max="6675" customWidth="1" bestFit="1" width="10.0" style="5"/>
    <col min="6676" max="6676" customWidth="1" bestFit="1" width="10.0" style="5"/>
    <col min="6677" max="6677" customWidth="1" bestFit="1" width="10.0" style="5"/>
    <col min="6678" max="6678" customWidth="1" bestFit="1" width="10.0" style="5"/>
    <col min="6679" max="6679" customWidth="1" bestFit="1" width="10.0" style="5"/>
    <col min="6680" max="6680" customWidth="1" bestFit="1" width="10.0" style="5"/>
    <col min="6681" max="6681" customWidth="1" bestFit="1" width="10.0" style="5"/>
    <col min="6682" max="6682" customWidth="1" bestFit="1" width="10.0" style="5"/>
    <col min="6683" max="6683" customWidth="1" bestFit="1" width="10.0" style="5"/>
    <col min="6684" max="6684" customWidth="1" bestFit="1" width="10.0" style="5"/>
    <col min="6685" max="6685" customWidth="1" bestFit="1" width="10.0" style="5"/>
    <col min="6686" max="6686" customWidth="1" bestFit="1" width="10.0" style="5"/>
    <col min="6687" max="6687" customWidth="1" bestFit="1" width="10.0" style="5"/>
    <col min="6688" max="6688" customWidth="1" bestFit="1" width="10.0" style="5"/>
    <col min="6689" max="6689" customWidth="1" bestFit="1" width="10.0" style="5"/>
    <col min="6690" max="6690" customWidth="1" bestFit="1" width="10.0" style="5"/>
    <col min="6691" max="6691" customWidth="1" bestFit="1" width="10.0" style="5"/>
    <col min="6692" max="6692" customWidth="1" bestFit="1" width="10.0" style="5"/>
    <col min="6693" max="6693" customWidth="1" bestFit="1" width="10.0" style="5"/>
    <col min="6694" max="6694" customWidth="1" bestFit="1" width="10.0" style="5"/>
    <col min="6695" max="6695" customWidth="1" bestFit="1" width="10.0" style="5"/>
    <col min="6696" max="6696" customWidth="1" bestFit="1" width="10.0" style="5"/>
    <col min="6697" max="6697" customWidth="1" bestFit="1" width="10.0" style="5"/>
    <col min="6698" max="6698" customWidth="1" bestFit="1" width="10.0" style="5"/>
    <col min="6699" max="6699" customWidth="1" bestFit="1" width="10.0" style="5"/>
    <col min="6700" max="6700" customWidth="1" bestFit="1" width="10.0" style="5"/>
    <col min="6701" max="6701" customWidth="1" bestFit="1" width="10.0" style="5"/>
    <col min="6702" max="6702" customWidth="1" bestFit="1" width="10.0" style="5"/>
    <col min="6703" max="6703" customWidth="1" bestFit="1" width="10.0" style="5"/>
    <col min="6704" max="6704" customWidth="1" bestFit="1" width="10.0" style="5"/>
    <col min="6705" max="6705" customWidth="1" bestFit="1" width="10.0" style="5"/>
    <col min="6706" max="6706" customWidth="1" bestFit="1" width="10.0" style="5"/>
    <col min="6707" max="6707" customWidth="1" bestFit="1" width="10.0" style="5"/>
    <col min="6708" max="6708" customWidth="1" bestFit="1" width="10.0" style="5"/>
    <col min="6709" max="6709" customWidth="1" bestFit="1" width="10.0" style="5"/>
    <col min="6710" max="6710" customWidth="1" bestFit="1" width="10.0" style="5"/>
    <col min="6711" max="6711" customWidth="1" bestFit="1" width="10.0" style="5"/>
    <col min="6712" max="6712" customWidth="1" bestFit="1" width="10.0" style="5"/>
    <col min="6713" max="6713" customWidth="1" bestFit="1" width="10.0" style="5"/>
    <col min="6714" max="6714" customWidth="1" bestFit="1" width="10.0" style="5"/>
    <col min="6715" max="6715" customWidth="1" bestFit="1" width="10.0" style="5"/>
    <col min="6716" max="6716" customWidth="1" bestFit="1" width="10.0" style="5"/>
    <col min="6717" max="6717" customWidth="1" bestFit="1" width="10.0" style="5"/>
    <col min="6718" max="6718" customWidth="1" bestFit="1" width="10.0" style="5"/>
    <col min="6719" max="6719" customWidth="1" bestFit="1" width="10.0" style="5"/>
    <col min="6720" max="6720" customWidth="1" bestFit="1" width="10.0" style="5"/>
    <col min="6721" max="6721" customWidth="1" bestFit="1" width="10.0" style="5"/>
    <col min="6722" max="6722" customWidth="1" bestFit="1" width="10.0" style="5"/>
    <col min="6723" max="6723" customWidth="1" bestFit="1" width="10.0" style="5"/>
    <col min="6724" max="6724" customWidth="1" bestFit="1" width="10.0" style="5"/>
    <col min="6725" max="6725" customWidth="1" bestFit="1" width="10.0" style="5"/>
    <col min="6726" max="6726" customWidth="1" bestFit="1" width="10.0" style="5"/>
    <col min="6727" max="6727" customWidth="1" bestFit="1" width="10.0" style="5"/>
    <col min="6728" max="6728" customWidth="1" bestFit="1" width="10.0" style="5"/>
    <col min="6729" max="6729" customWidth="1" bestFit="1" width="10.0" style="5"/>
    <col min="6730" max="6730" customWidth="1" bestFit="1" width="10.0" style="5"/>
    <col min="6731" max="6731" customWidth="1" bestFit="1" width="10.0" style="5"/>
    <col min="6732" max="6732" customWidth="1" bestFit="1" width="10.0" style="5"/>
    <col min="6733" max="6733" customWidth="1" bestFit="1" width="10.0" style="5"/>
    <col min="6734" max="6734" customWidth="1" bestFit="1" width="10.0" style="5"/>
    <col min="6735" max="6735" customWidth="1" bestFit="1" width="10.0" style="5"/>
    <col min="6736" max="6736" customWidth="1" bestFit="1" width="10.0" style="5"/>
    <col min="6737" max="6737" customWidth="1" bestFit="1" width="10.0" style="5"/>
    <col min="6738" max="6738" customWidth="1" bestFit="1" width="10.0" style="5"/>
    <col min="6739" max="6739" customWidth="1" bestFit="1" width="10.0" style="5"/>
    <col min="6740" max="6740" customWidth="1" bestFit="1" width="10.0" style="5"/>
    <col min="6741" max="6741" customWidth="1" bestFit="1" width="10.0" style="5"/>
    <col min="6742" max="6742" customWidth="1" bestFit="1" width="10.0" style="5"/>
    <col min="6743" max="6743" customWidth="1" bestFit="1" width="10.0" style="5"/>
    <col min="6744" max="6744" customWidth="1" bestFit="1" width="10.0" style="5"/>
    <col min="6745" max="6745" customWidth="1" bestFit="1" width="10.0" style="5"/>
    <col min="6746" max="6746" customWidth="1" bestFit="1" width="10.0" style="5"/>
    <col min="6747" max="6747" customWidth="1" bestFit="1" width="10.0" style="5"/>
    <col min="6748" max="6748" customWidth="1" bestFit="1" width="10.0" style="5"/>
    <col min="6749" max="6749" customWidth="1" bestFit="1" width="10.0" style="5"/>
    <col min="6750" max="6750" customWidth="1" bestFit="1" width="10.0" style="5"/>
    <col min="6751" max="6751" customWidth="1" bestFit="1" width="10.0" style="5"/>
    <col min="6752" max="6752" customWidth="1" bestFit="1" width="10.0" style="5"/>
    <col min="6753" max="6753" customWidth="1" bestFit="1" width="10.0" style="5"/>
    <col min="6754" max="6754" customWidth="1" bestFit="1" width="10.0" style="5"/>
    <col min="6755" max="6755" customWidth="1" bestFit="1" width="10.0" style="5"/>
    <col min="6756" max="6756" customWidth="1" bestFit="1" width="10.0" style="5"/>
    <col min="6757" max="6757" customWidth="1" bestFit="1" width="10.0" style="5"/>
    <col min="6758" max="6758" customWidth="1" bestFit="1" width="10.0" style="5"/>
    <col min="6759" max="6759" customWidth="1" bestFit="1" width="10.0" style="5"/>
    <col min="6760" max="6760" customWidth="1" bestFit="1" width="10.0" style="5"/>
    <col min="6761" max="6761" customWidth="1" bestFit="1" width="10.0" style="5"/>
    <col min="6762" max="6762" customWidth="1" bestFit="1" width="10.0" style="5"/>
    <col min="6763" max="6763" customWidth="1" bestFit="1" width="10.0" style="5"/>
    <col min="6764" max="6764" customWidth="1" bestFit="1" width="10.0" style="5"/>
    <col min="6765" max="6765" customWidth="1" bestFit="1" width="10.0" style="5"/>
    <col min="6766" max="6766" customWidth="1" bestFit="1" width="10.0" style="5"/>
    <col min="6767" max="6767" customWidth="1" bestFit="1" width="10.0" style="5"/>
    <col min="6768" max="6768" customWidth="1" bestFit="1" width="10.0" style="5"/>
    <col min="6769" max="6769" customWidth="1" bestFit="1" width="10.0" style="5"/>
    <col min="6770" max="6770" customWidth="1" bestFit="1" width="10.0" style="5"/>
    <col min="6771" max="6771" customWidth="1" bestFit="1" width="10.0" style="5"/>
    <col min="6772" max="6772" customWidth="1" bestFit="1" width="10.0" style="5"/>
    <col min="6773" max="6773" customWidth="1" bestFit="1" width="10.0" style="5"/>
    <col min="6774" max="6774" customWidth="1" bestFit="1" width="10.0" style="5"/>
    <col min="6775" max="6775" customWidth="1" bestFit="1" width="10.0" style="5"/>
    <col min="6776" max="6776" customWidth="1" bestFit="1" width="10.0" style="5"/>
    <col min="6777" max="6777" customWidth="1" bestFit="1" width="10.0" style="5"/>
    <col min="6778" max="6778" customWidth="1" bestFit="1" width="10.0" style="5"/>
    <col min="6779" max="6779" customWidth="1" bestFit="1" width="10.0" style="5"/>
    <col min="6780" max="6780" customWidth="1" bestFit="1" width="10.0" style="5"/>
    <col min="6781" max="6781" customWidth="1" bestFit="1" width="10.0" style="5"/>
    <col min="6782" max="6782" customWidth="1" bestFit="1" width="10.0" style="5"/>
    <col min="6783" max="6783" customWidth="1" bestFit="1" width="10.0" style="5"/>
    <col min="6784" max="6784" customWidth="1" bestFit="1" width="10.0" style="5"/>
    <col min="6785" max="6785" customWidth="1" bestFit="1" width="10.0" style="5"/>
    <col min="6786" max="6786" customWidth="1" bestFit="1" width="10.0" style="5"/>
    <col min="6787" max="6787" customWidth="1" bestFit="1" width="10.0" style="5"/>
    <col min="6788" max="6788" customWidth="1" bestFit="1" width="10.0" style="5"/>
    <col min="6789" max="6789" customWidth="1" bestFit="1" width="10.0" style="5"/>
    <col min="6790" max="6790" customWidth="1" bestFit="1" width="10.0" style="5"/>
    <col min="6791" max="6791" customWidth="1" bestFit="1" width="10.0" style="5"/>
    <col min="6792" max="6792" customWidth="1" bestFit="1" width="10.0" style="5"/>
    <col min="6793" max="6793" customWidth="1" bestFit="1" width="10.0" style="5"/>
    <col min="6794" max="6794" customWidth="1" bestFit="1" width="10.0" style="5"/>
    <col min="6795" max="6795" customWidth="1" bestFit="1" width="10.0" style="5"/>
    <col min="6796" max="6796" customWidth="1" bestFit="1" width="10.0" style="5"/>
    <col min="6797" max="6797" customWidth="1" bestFit="1" width="10.0" style="5"/>
    <col min="6798" max="6798" customWidth="1" bestFit="1" width="10.0" style="5"/>
    <col min="6799" max="6799" customWidth="1" bestFit="1" width="10.0" style="5"/>
    <col min="6800" max="6800" customWidth="1" bestFit="1" width="10.0" style="5"/>
    <col min="6801" max="6801" customWidth="1" bestFit="1" width="10.0" style="5"/>
    <col min="6802" max="6802" customWidth="1" bestFit="1" width="10.0" style="5"/>
    <col min="6803" max="6803" customWidth="1" bestFit="1" width="10.0" style="5"/>
    <col min="6804" max="6804" customWidth="1" bestFit="1" width="10.0" style="5"/>
    <col min="6805" max="6805" customWidth="1" bestFit="1" width="10.0" style="5"/>
    <col min="6806" max="6806" customWidth="1" bestFit="1" width="10.0" style="5"/>
    <col min="6807" max="6807" customWidth="1" bestFit="1" width="10.0" style="5"/>
    <col min="6808" max="6808" customWidth="1" bestFit="1" width="10.0" style="5"/>
    <col min="6809" max="6809" customWidth="1" bestFit="1" width="10.0" style="5"/>
    <col min="6810" max="6810" customWidth="1" bestFit="1" width="10.0" style="5"/>
    <col min="6811" max="6811" customWidth="1" bestFit="1" width="10.0" style="5"/>
    <col min="6812" max="6812" customWidth="1" bestFit="1" width="10.0" style="5"/>
    <col min="6813" max="6813" customWidth="1" bestFit="1" width="10.0" style="5"/>
    <col min="6814" max="6814" customWidth="1" bestFit="1" width="10.0" style="5"/>
    <col min="6815" max="6815" customWidth="1" bestFit="1" width="10.0" style="5"/>
    <col min="6816" max="6816" customWidth="1" bestFit="1" width="10.0" style="5"/>
    <col min="6817" max="6817" customWidth="1" bestFit="1" width="10.0" style="5"/>
    <col min="6818" max="6818" customWidth="1" bestFit="1" width="10.0" style="5"/>
    <col min="6819" max="6819" customWidth="1" bestFit="1" width="10.0" style="5"/>
    <col min="6820" max="6820" customWidth="1" bestFit="1" width="10.0" style="5"/>
    <col min="6821" max="6821" customWidth="1" bestFit="1" width="10.0" style="5"/>
    <col min="6822" max="6822" customWidth="1" bestFit="1" width="10.0" style="5"/>
    <col min="6823" max="6823" customWidth="1" bestFit="1" width="10.0" style="5"/>
    <col min="6824" max="6824" customWidth="1" bestFit="1" width="10.0" style="5"/>
    <col min="6825" max="6825" customWidth="1" bestFit="1" width="10.0" style="5"/>
    <col min="6826" max="6826" customWidth="1" bestFit="1" width="10.0" style="5"/>
    <col min="6827" max="6827" customWidth="1" bestFit="1" width="10.0" style="5"/>
    <col min="6828" max="6828" customWidth="1" bestFit="1" width="10.0" style="5"/>
    <col min="6829" max="6829" customWidth="1" bestFit="1" width="10.0" style="5"/>
    <col min="6830" max="6830" customWidth="1" bestFit="1" width="10.0" style="5"/>
    <col min="6831" max="6831" customWidth="1" bestFit="1" width="10.0" style="5"/>
    <col min="6832" max="6832" customWidth="1" bestFit="1" width="10.0" style="5"/>
    <col min="6833" max="6833" customWidth="1" bestFit="1" width="10.0" style="5"/>
    <col min="6834" max="6834" customWidth="1" bestFit="1" width="10.0" style="5"/>
    <col min="6835" max="6835" customWidth="1" bestFit="1" width="10.0" style="5"/>
    <col min="6836" max="6836" customWidth="1" bestFit="1" width="10.0" style="5"/>
    <col min="6837" max="6837" customWidth="1" bestFit="1" width="10.0" style="5"/>
    <col min="6838" max="6838" customWidth="1" bestFit="1" width="10.0" style="5"/>
    <col min="6839" max="6839" customWidth="1" bestFit="1" width="10.0" style="5"/>
    <col min="6840" max="6840" customWidth="1" bestFit="1" width="10.0" style="5"/>
    <col min="6841" max="6841" customWidth="1" bestFit="1" width="10.0" style="5"/>
    <col min="6842" max="6842" customWidth="1" bestFit="1" width="10.0" style="5"/>
    <col min="6843" max="6843" customWidth="1" bestFit="1" width="10.0" style="5"/>
    <col min="6844" max="6844" customWidth="1" bestFit="1" width="10.0" style="5"/>
    <col min="6845" max="6845" customWidth="1" bestFit="1" width="10.0" style="5"/>
    <col min="6846" max="6846" customWidth="1" bestFit="1" width="10.0" style="5"/>
    <col min="6847" max="6847" customWidth="1" bestFit="1" width="10.0" style="5"/>
    <col min="6848" max="6848" customWidth="1" bestFit="1" width="10.0" style="5"/>
    <col min="6849" max="6849" customWidth="1" bestFit="1" width="10.0" style="5"/>
    <col min="6850" max="6850" customWidth="1" bestFit="1" width="10.0" style="5"/>
    <col min="6851" max="6851" customWidth="1" bestFit="1" width="10.0" style="5"/>
    <col min="6852" max="6852" customWidth="1" bestFit="1" width="10.0" style="5"/>
    <col min="6853" max="6853" customWidth="1" bestFit="1" width="10.0" style="5"/>
    <col min="6854" max="6854" customWidth="1" bestFit="1" width="10.0" style="5"/>
    <col min="6855" max="6855" customWidth="1" bestFit="1" width="10.0" style="5"/>
    <col min="6856" max="6856" customWidth="1" bestFit="1" width="10.0" style="5"/>
    <col min="6857" max="6857" customWidth="1" bestFit="1" width="10.0" style="5"/>
    <col min="6858" max="6858" customWidth="1" bestFit="1" width="10.0" style="5"/>
    <col min="6859" max="6859" customWidth="1" bestFit="1" width="10.0" style="5"/>
    <col min="6860" max="6860" customWidth="1" bestFit="1" width="10.0" style="5"/>
    <col min="6861" max="6861" customWidth="1" bestFit="1" width="10.0" style="5"/>
    <col min="6862" max="6862" customWidth="1" bestFit="1" width="10.0" style="5"/>
    <col min="6863" max="6863" customWidth="1" bestFit="1" width="10.0" style="5"/>
    <col min="6864" max="6864" customWidth="1" bestFit="1" width="10.0" style="5"/>
    <col min="6865" max="6865" customWidth="1" bestFit="1" width="10.0" style="5"/>
    <col min="6866" max="6866" customWidth="1" bestFit="1" width="10.0" style="5"/>
    <col min="6867" max="6867" customWidth="1" bestFit="1" width="10.0" style="5"/>
    <col min="6868" max="6868" customWidth="1" bestFit="1" width="10.0" style="5"/>
    <col min="6869" max="6869" customWidth="1" bestFit="1" width="10.0" style="5"/>
    <col min="6870" max="6870" customWidth="1" bestFit="1" width="10.0" style="5"/>
    <col min="6871" max="6871" customWidth="1" bestFit="1" width="10.0" style="5"/>
    <col min="6872" max="6872" customWidth="1" bestFit="1" width="10.0" style="5"/>
    <col min="6873" max="6873" customWidth="1" bestFit="1" width="10.0" style="5"/>
    <col min="6874" max="6874" customWidth="1" bestFit="1" width="10.0" style="5"/>
    <col min="6875" max="6875" customWidth="1" bestFit="1" width="10.0" style="5"/>
    <col min="6876" max="6876" customWidth="1" bestFit="1" width="10.0" style="5"/>
    <col min="6877" max="6877" customWidth="1" bestFit="1" width="10.0" style="5"/>
    <col min="6878" max="6878" customWidth="1" bestFit="1" width="10.0" style="5"/>
    <col min="6879" max="6879" customWidth="1" bestFit="1" width="10.0" style="5"/>
    <col min="6880" max="6880" customWidth="1" bestFit="1" width="10.0" style="5"/>
    <col min="6881" max="6881" customWidth="1" bestFit="1" width="10.0" style="5"/>
    <col min="6882" max="6882" customWidth="1" bestFit="1" width="10.0" style="5"/>
    <col min="6883" max="6883" customWidth="1" bestFit="1" width="10.0" style="5"/>
    <col min="6884" max="6884" customWidth="1" bestFit="1" width="10.0" style="5"/>
    <col min="6885" max="6885" customWidth="1" bestFit="1" width="10.0" style="5"/>
    <col min="6886" max="6886" customWidth="1" bestFit="1" width="10.0" style="5"/>
    <col min="6887" max="6887" customWidth="1" bestFit="1" width="10.0" style="5"/>
    <col min="6888" max="6888" customWidth="1" bestFit="1" width="10.0" style="5"/>
    <col min="6889" max="6889" customWidth="1" bestFit="1" width="10.0" style="5"/>
    <col min="6890" max="6890" customWidth="1" bestFit="1" width="10.0" style="5"/>
    <col min="6891" max="6891" customWidth="1" bestFit="1" width="10.0" style="5"/>
    <col min="6892" max="6892" customWidth="1" bestFit="1" width="10.0" style="5"/>
    <col min="6893" max="6893" customWidth="1" bestFit="1" width="10.0" style="5"/>
    <col min="6894" max="6894" customWidth="1" bestFit="1" width="10.0" style="5"/>
    <col min="6895" max="6895" customWidth="1" bestFit="1" width="10.0" style="5"/>
    <col min="6896" max="6896" customWidth="1" bestFit="1" width="10.0" style="5"/>
    <col min="6897" max="6897" customWidth="1" bestFit="1" width="10.0" style="5"/>
    <col min="6898" max="6898" customWidth="1" bestFit="1" width="10.0" style="5"/>
    <col min="6899" max="6899" customWidth="1" bestFit="1" width="10.0" style="5"/>
    <col min="6900" max="6900" customWidth="1" bestFit="1" width="10.0" style="5"/>
    <col min="6901" max="6901" customWidth="1" bestFit="1" width="10.0" style="5"/>
    <col min="6902" max="6902" customWidth="1" bestFit="1" width="10.0" style="5"/>
    <col min="6903" max="6903" customWidth="1" bestFit="1" width="10.0" style="5"/>
    <col min="6904" max="6904" customWidth="1" bestFit="1" width="10.0" style="5"/>
    <col min="6905" max="6905" customWidth="1" bestFit="1" width="10.0" style="5"/>
    <col min="6906" max="6906" customWidth="1" bestFit="1" width="10.0" style="5"/>
    <col min="6907" max="6907" customWidth="1" bestFit="1" width="10.0" style="5"/>
    <col min="6908" max="6908" customWidth="1" bestFit="1" width="10.0" style="5"/>
    <col min="6909" max="6909" customWidth="1" bestFit="1" width="10.0" style="5"/>
    <col min="6910" max="6910" customWidth="1" bestFit="1" width="10.0" style="5"/>
    <col min="6911" max="6911" customWidth="1" bestFit="1" width="10.0" style="5"/>
    <col min="6912" max="6912" customWidth="1" bestFit="1" width="10.0" style="5"/>
    <col min="6913" max="6913" customWidth="1" bestFit="1" width="10.0" style="5"/>
    <col min="6914" max="6914" customWidth="1" bestFit="1" width="10.0" style="5"/>
    <col min="6915" max="6915" customWidth="1" bestFit="1" width="10.0" style="5"/>
    <col min="6916" max="6916" customWidth="1" bestFit="1" width="10.0" style="5"/>
    <col min="6917" max="6917" customWidth="1" bestFit="1" width="10.0" style="5"/>
    <col min="6918" max="6918" customWidth="1" bestFit="1" width="10.0" style="5"/>
    <col min="6919" max="6919" customWidth="1" bestFit="1" width="10.0" style="5"/>
    <col min="6920" max="6920" customWidth="1" bestFit="1" width="10.0" style="5"/>
    <col min="6921" max="6921" customWidth="1" bestFit="1" width="10.0" style="5"/>
    <col min="6922" max="6922" customWidth="1" bestFit="1" width="10.0" style="5"/>
    <col min="6923" max="6923" customWidth="1" bestFit="1" width="10.0" style="5"/>
    <col min="6924" max="6924" customWidth="1" bestFit="1" width="10.0" style="5"/>
    <col min="6925" max="6925" customWidth="1" bestFit="1" width="10.0" style="5"/>
    <col min="6926" max="6926" customWidth="1" bestFit="1" width="10.0" style="5"/>
    <col min="6927" max="6927" customWidth="1" bestFit="1" width="10.0" style="5"/>
    <col min="6928" max="6928" customWidth="1" bestFit="1" width="10.0" style="5"/>
    <col min="6929" max="6929" customWidth="1" bestFit="1" width="10.0" style="5"/>
    <col min="6930" max="6930" customWidth="1" bestFit="1" width="10.0" style="5"/>
    <col min="6931" max="6931" customWidth="1" bestFit="1" width="10.0" style="5"/>
    <col min="6932" max="6932" customWidth="1" bestFit="1" width="10.0" style="5"/>
    <col min="6933" max="6933" customWidth="1" bestFit="1" width="10.0" style="5"/>
    <col min="6934" max="6934" customWidth="1" bestFit="1" width="10.0" style="5"/>
    <col min="6935" max="6935" customWidth="1" bestFit="1" width="10.0" style="5"/>
    <col min="6936" max="6936" customWidth="1" bestFit="1" width="10.0" style="5"/>
    <col min="6937" max="6937" customWidth="1" bestFit="1" width="10.0" style="5"/>
    <col min="6938" max="6938" customWidth="1" bestFit="1" width="10.0" style="5"/>
    <col min="6939" max="6939" customWidth="1" bestFit="1" width="10.0" style="5"/>
    <col min="6940" max="6940" customWidth="1" bestFit="1" width="10.0" style="5"/>
    <col min="6941" max="6941" customWidth="1" bestFit="1" width="10.0" style="5"/>
    <col min="6942" max="6942" customWidth="1" bestFit="1" width="10.0" style="5"/>
    <col min="6943" max="6943" customWidth="1" bestFit="1" width="10.0" style="5"/>
    <col min="6944" max="6944" customWidth="1" bestFit="1" width="10.0" style="5"/>
    <col min="6945" max="6945" customWidth="1" bestFit="1" width="10.0" style="5"/>
    <col min="6946" max="6946" customWidth="1" bestFit="1" width="10.0" style="5"/>
    <col min="6947" max="6947" customWidth="1" bestFit="1" width="10.0" style="5"/>
    <col min="6948" max="6948" customWidth="1" bestFit="1" width="10.0" style="5"/>
    <col min="6949" max="6949" customWidth="1" bestFit="1" width="10.0" style="5"/>
    <col min="6950" max="6950" customWidth="1" bestFit="1" width="10.0" style="5"/>
    <col min="6951" max="6951" customWidth="1" bestFit="1" width="10.0" style="5"/>
    <col min="6952" max="6952" customWidth="1" bestFit="1" width="10.0" style="5"/>
    <col min="6953" max="6953" customWidth="1" bestFit="1" width="10.0" style="5"/>
    <col min="6954" max="6954" customWidth="1" bestFit="1" width="10.0" style="5"/>
    <col min="6955" max="6955" customWidth="1" bestFit="1" width="10.0" style="5"/>
    <col min="6956" max="6956" customWidth="1" bestFit="1" width="10.0" style="5"/>
    <col min="6957" max="6957" customWidth="1" bestFit="1" width="10.0" style="5"/>
    <col min="6958" max="6958" customWidth="1" bestFit="1" width="10.0" style="5"/>
    <col min="6959" max="6959" customWidth="1" bestFit="1" width="10.0" style="5"/>
    <col min="6960" max="6960" customWidth="1" bestFit="1" width="10.0" style="5"/>
    <col min="6961" max="6961" customWidth="1" bestFit="1" width="10.0" style="5"/>
    <col min="6962" max="6962" customWidth="1" bestFit="1" width="10.0" style="5"/>
    <col min="6963" max="6963" customWidth="1" bestFit="1" width="10.0" style="5"/>
    <col min="6964" max="6964" customWidth="1" bestFit="1" width="10.0" style="5"/>
    <col min="6965" max="6965" customWidth="1" bestFit="1" width="10.0" style="5"/>
    <col min="6966" max="6966" customWidth="1" bestFit="1" width="10.0" style="5"/>
    <col min="6967" max="6967" customWidth="1" bestFit="1" width="10.0" style="5"/>
    <col min="6968" max="6968" customWidth="1" bestFit="1" width="10.0" style="5"/>
    <col min="6969" max="6969" customWidth="1" bestFit="1" width="10.0" style="5"/>
    <col min="6970" max="6970" customWidth="1" bestFit="1" width="10.0" style="5"/>
    <col min="6971" max="6971" customWidth="1" bestFit="1" width="10.0" style="5"/>
    <col min="6972" max="6972" customWidth="1" bestFit="1" width="10.0" style="5"/>
    <col min="6973" max="6973" customWidth="1" bestFit="1" width="10.0" style="5"/>
    <col min="6974" max="6974" customWidth="1" bestFit="1" width="10.0" style="5"/>
    <col min="6975" max="6975" customWidth="1" bestFit="1" width="10.0" style="5"/>
    <col min="6976" max="6976" customWidth="1" bestFit="1" width="10.0" style="5"/>
    <col min="6977" max="6977" customWidth="1" bestFit="1" width="10.0" style="5"/>
    <col min="6978" max="6978" customWidth="1" bestFit="1" width="10.0" style="5"/>
    <col min="6979" max="6979" customWidth="1" bestFit="1" width="10.0" style="5"/>
    <col min="6980" max="6980" customWidth="1" bestFit="1" width="10.0" style="5"/>
    <col min="6981" max="6981" customWidth="1" bestFit="1" width="10.0" style="5"/>
    <col min="6982" max="6982" customWidth="1" bestFit="1" width="10.0" style="5"/>
    <col min="6983" max="6983" customWidth="1" bestFit="1" width="10.0" style="5"/>
    <col min="6984" max="6984" customWidth="1" bestFit="1" width="10.0" style="5"/>
    <col min="6985" max="6985" customWidth="1" bestFit="1" width="10.0" style="5"/>
    <col min="6986" max="6986" customWidth="1" bestFit="1" width="10.0" style="5"/>
    <col min="6987" max="6987" customWidth="1" bestFit="1" width="10.0" style="5"/>
    <col min="6988" max="6988" customWidth="1" bestFit="1" width="10.0" style="5"/>
    <col min="6989" max="6989" customWidth="1" bestFit="1" width="10.0" style="5"/>
    <col min="6990" max="6990" customWidth="1" bestFit="1" width="10.0" style="5"/>
    <col min="6991" max="6991" customWidth="1" bestFit="1" width="10.0" style="5"/>
    <col min="6992" max="6992" customWidth="1" bestFit="1" width="10.0" style="5"/>
    <col min="6993" max="6993" customWidth="1" bestFit="1" width="10.0" style="5"/>
    <col min="6994" max="6994" customWidth="1" bestFit="1" width="10.0" style="5"/>
    <col min="6995" max="6995" customWidth="1" bestFit="1" width="10.0" style="5"/>
    <col min="6996" max="6996" customWidth="1" bestFit="1" width="10.0" style="5"/>
    <col min="6997" max="6997" customWidth="1" bestFit="1" width="10.0" style="5"/>
    <col min="6998" max="6998" customWidth="1" bestFit="1" width="10.0" style="5"/>
    <col min="6999" max="6999" customWidth="1" bestFit="1" width="10.0" style="5"/>
    <col min="7000" max="7000" customWidth="1" bestFit="1" width="10.0" style="5"/>
    <col min="7001" max="7001" customWidth="1" bestFit="1" width="10.0" style="5"/>
    <col min="7002" max="7002" customWidth="1" bestFit="1" width="10.0" style="5"/>
    <col min="7003" max="7003" customWidth="1" bestFit="1" width="10.0" style="5"/>
    <col min="7004" max="7004" customWidth="1" bestFit="1" width="10.0" style="5"/>
    <col min="7005" max="7005" customWidth="1" bestFit="1" width="10.0" style="5"/>
    <col min="7006" max="7006" customWidth="1" bestFit="1" width="10.0" style="5"/>
    <col min="7007" max="7007" customWidth="1" bestFit="1" width="10.0" style="5"/>
    <col min="7008" max="7008" customWidth="1" bestFit="1" width="10.0" style="5"/>
    <col min="7009" max="7009" customWidth="1" bestFit="1" width="10.0" style="5"/>
    <col min="7010" max="7010" customWidth="1" bestFit="1" width="10.0" style="5"/>
    <col min="7011" max="7011" customWidth="1" bestFit="1" width="10.0" style="5"/>
    <col min="7012" max="7012" customWidth="1" bestFit="1" width="10.0" style="5"/>
    <col min="7013" max="7013" customWidth="1" bestFit="1" width="10.0" style="5"/>
    <col min="7014" max="7014" customWidth="1" bestFit="1" width="10.0" style="5"/>
    <col min="7015" max="7015" customWidth="1" bestFit="1" width="10.0" style="5"/>
    <col min="7016" max="7016" customWidth="1" bestFit="1" width="10.0" style="5"/>
    <col min="7017" max="7017" customWidth="1" bestFit="1" width="10.0" style="5"/>
    <col min="7018" max="7018" customWidth="1" bestFit="1" width="10.0" style="5"/>
    <col min="7019" max="7019" customWidth="1" bestFit="1" width="10.0" style="5"/>
    <col min="7020" max="7020" customWidth="1" bestFit="1" width="10.0" style="5"/>
    <col min="7021" max="7021" customWidth="1" bestFit="1" width="10.0" style="5"/>
    <col min="7022" max="7022" customWidth="1" bestFit="1" width="10.0" style="5"/>
    <col min="7023" max="7023" customWidth="1" bestFit="1" width="10.0" style="5"/>
    <col min="7024" max="7024" customWidth="1" bestFit="1" width="10.0" style="5"/>
    <col min="7025" max="7025" customWidth="1" bestFit="1" width="10.0" style="5"/>
    <col min="7026" max="7026" customWidth="1" bestFit="1" width="10.0" style="5"/>
    <col min="7027" max="7027" customWidth="1" bestFit="1" width="10.0" style="5"/>
    <col min="7028" max="7028" customWidth="1" bestFit="1" width="10.0" style="5"/>
    <col min="7029" max="7029" customWidth="1" bestFit="1" width="10.0" style="5"/>
    <col min="7030" max="7030" customWidth="1" bestFit="1" width="10.0" style="5"/>
    <col min="7031" max="7031" customWidth="1" bestFit="1" width="10.0" style="5"/>
    <col min="7032" max="7032" customWidth="1" bestFit="1" width="10.0" style="5"/>
    <col min="7033" max="7033" customWidth="1" bestFit="1" width="10.0" style="5"/>
    <col min="7034" max="7034" customWidth="1" bestFit="1" width="10.0" style="5"/>
    <col min="7035" max="7035" customWidth="1" bestFit="1" width="10.0" style="5"/>
    <col min="7036" max="7036" customWidth="1" bestFit="1" width="10.0" style="5"/>
    <col min="7037" max="7037" customWidth="1" bestFit="1" width="10.0" style="5"/>
    <col min="7038" max="7038" customWidth="1" bestFit="1" width="10.0" style="5"/>
    <col min="7039" max="7039" customWidth="1" bestFit="1" width="10.0" style="5"/>
    <col min="7040" max="7040" customWidth="1" bestFit="1" width="10.0" style="5"/>
    <col min="7041" max="7041" customWidth="1" bestFit="1" width="10.0" style="5"/>
    <col min="7042" max="7042" customWidth="1" bestFit="1" width="10.0" style="5"/>
    <col min="7043" max="7043" customWidth="1" bestFit="1" width="10.0" style="5"/>
    <col min="7044" max="7044" customWidth="1" bestFit="1" width="10.0" style="5"/>
    <col min="7045" max="7045" customWidth="1" bestFit="1" width="10.0" style="5"/>
    <col min="7046" max="7046" customWidth="1" bestFit="1" width="10.0" style="5"/>
    <col min="7047" max="7047" customWidth="1" bestFit="1" width="10.0" style="5"/>
    <col min="7048" max="7048" customWidth="1" bestFit="1" width="10.0" style="5"/>
    <col min="7049" max="7049" customWidth="1" bestFit="1" width="10.0" style="5"/>
    <col min="7050" max="7050" customWidth="1" bestFit="1" width="10.0" style="5"/>
    <col min="7051" max="7051" customWidth="1" bestFit="1" width="10.0" style="5"/>
    <col min="7052" max="7052" customWidth="1" bestFit="1" width="10.0" style="5"/>
    <col min="7053" max="7053" customWidth="1" bestFit="1" width="10.0" style="5"/>
    <col min="7054" max="7054" customWidth="1" bestFit="1" width="10.0" style="5"/>
    <col min="7055" max="7055" customWidth="1" bestFit="1" width="10.0" style="5"/>
    <col min="7056" max="7056" customWidth="1" bestFit="1" width="10.0" style="5"/>
    <col min="7057" max="7057" customWidth="1" bestFit="1" width="10.0" style="5"/>
    <col min="7058" max="7058" customWidth="1" bestFit="1" width="10.0" style="5"/>
    <col min="7059" max="7059" customWidth="1" bestFit="1" width="10.0" style="5"/>
    <col min="7060" max="7060" customWidth="1" bestFit="1" width="10.0" style="5"/>
    <col min="7061" max="7061" customWidth="1" bestFit="1" width="10.0" style="5"/>
    <col min="7062" max="7062" customWidth="1" bestFit="1" width="10.0" style="5"/>
    <col min="7063" max="7063" customWidth="1" bestFit="1" width="10.0" style="5"/>
    <col min="7064" max="7064" customWidth="1" bestFit="1" width="10.0" style="5"/>
    <col min="7065" max="7065" customWidth="1" bestFit="1" width="10.0" style="5"/>
    <col min="7066" max="7066" customWidth="1" bestFit="1" width="10.0" style="5"/>
    <col min="7067" max="7067" customWidth="1" bestFit="1" width="10.0" style="5"/>
    <col min="7068" max="7068" customWidth="1" bestFit="1" width="10.0" style="5"/>
    <col min="7069" max="7069" customWidth="1" bestFit="1" width="10.0" style="5"/>
    <col min="7070" max="7070" customWidth="1" bestFit="1" width="10.0" style="5"/>
    <col min="7071" max="7071" customWidth="1" bestFit="1" width="10.0" style="5"/>
    <col min="7072" max="7072" customWidth="1" bestFit="1" width="10.0" style="5"/>
    <col min="7073" max="7073" customWidth="1" bestFit="1" width="10.0" style="5"/>
    <col min="7074" max="7074" customWidth="1" bestFit="1" width="10.0" style="5"/>
    <col min="7075" max="7075" customWidth="1" bestFit="1" width="10.0" style="5"/>
    <col min="7076" max="7076" customWidth="1" bestFit="1" width="10.0" style="5"/>
    <col min="7077" max="7077" customWidth="1" bestFit="1" width="10.0" style="5"/>
    <col min="7078" max="7078" customWidth="1" bestFit="1" width="10.0" style="5"/>
    <col min="7079" max="7079" customWidth="1" bestFit="1" width="10.0" style="5"/>
    <col min="7080" max="7080" customWidth="1" bestFit="1" width="10.0" style="5"/>
    <col min="7081" max="7081" customWidth="1" bestFit="1" width="10.0" style="5"/>
    <col min="7082" max="7082" customWidth="1" bestFit="1" width="10.0" style="5"/>
    <col min="7083" max="7083" customWidth="1" bestFit="1" width="10.0" style="5"/>
    <col min="7084" max="7084" customWidth="1" bestFit="1" width="10.0" style="5"/>
    <col min="7085" max="7085" customWidth="1" bestFit="1" width="10.0" style="5"/>
    <col min="7086" max="7086" customWidth="1" bestFit="1" width="10.0" style="5"/>
    <col min="7087" max="7087" customWidth="1" bestFit="1" width="10.0" style="5"/>
    <col min="7088" max="7088" customWidth="1" bestFit="1" width="10.0" style="5"/>
    <col min="7089" max="7089" customWidth="1" bestFit="1" width="10.0" style="5"/>
    <col min="7090" max="7090" customWidth="1" bestFit="1" width="10.0" style="5"/>
    <col min="7091" max="7091" customWidth="1" bestFit="1" width="10.0" style="5"/>
    <col min="7092" max="7092" customWidth="1" bestFit="1" width="10.0" style="5"/>
    <col min="7093" max="7093" customWidth="1" bestFit="1" width="10.0" style="5"/>
    <col min="7094" max="7094" customWidth="1" bestFit="1" width="10.0" style="5"/>
    <col min="7095" max="7095" customWidth="1" bestFit="1" width="10.0" style="5"/>
    <col min="7096" max="7096" customWidth="1" bestFit="1" width="10.0" style="5"/>
    <col min="7097" max="7097" customWidth="1" bestFit="1" width="10.0" style="5"/>
    <col min="7098" max="7098" customWidth="1" bestFit="1" width="10.0" style="5"/>
    <col min="7099" max="7099" customWidth="1" bestFit="1" width="10.0" style="5"/>
    <col min="7100" max="7100" customWidth="1" bestFit="1" width="10.0" style="5"/>
    <col min="7101" max="7101" customWidth="1" bestFit="1" width="10.0" style="5"/>
    <col min="7102" max="7102" customWidth="1" bestFit="1" width="10.0" style="5"/>
    <col min="7103" max="7103" customWidth="1" bestFit="1" width="10.0" style="5"/>
    <col min="7104" max="7104" customWidth="1" bestFit="1" width="10.0" style="5"/>
    <col min="7105" max="7105" customWidth="1" bestFit="1" width="10.0" style="5"/>
    <col min="7106" max="7106" customWidth="1" bestFit="1" width="10.0" style="5"/>
    <col min="7107" max="7107" customWidth="1" bestFit="1" width="10.0" style="5"/>
    <col min="7108" max="7108" customWidth="1" bestFit="1" width="10.0" style="5"/>
    <col min="7109" max="7109" customWidth="1" bestFit="1" width="10.0" style="5"/>
    <col min="7110" max="7110" customWidth="1" bestFit="1" width="10.0" style="5"/>
    <col min="7111" max="7111" customWidth="1" bestFit="1" width="10.0" style="5"/>
    <col min="7112" max="7112" customWidth="1" bestFit="1" width="10.0" style="5"/>
    <col min="7113" max="7113" customWidth="1" bestFit="1" width="10.0" style="5"/>
    <col min="7114" max="7114" customWidth="1" bestFit="1" width="10.0" style="5"/>
    <col min="7115" max="7115" customWidth="1" bestFit="1" width="10.0" style="5"/>
    <col min="7116" max="7116" customWidth="1" bestFit="1" width="10.0" style="5"/>
    <col min="7117" max="7117" customWidth="1" bestFit="1" width="10.0" style="5"/>
    <col min="7118" max="7118" customWidth="1" bestFit="1" width="10.0" style="5"/>
    <col min="7119" max="7119" customWidth="1" bestFit="1" width="10.0" style="5"/>
    <col min="7120" max="7120" customWidth="1" bestFit="1" width="10.0" style="5"/>
    <col min="7121" max="7121" customWidth="1" bestFit="1" width="10.0" style="5"/>
    <col min="7122" max="7122" customWidth="1" bestFit="1" width="10.0" style="5"/>
    <col min="7123" max="7123" customWidth="1" bestFit="1" width="10.0" style="5"/>
    <col min="7124" max="7124" customWidth="1" bestFit="1" width="10.0" style="5"/>
    <col min="7125" max="7125" customWidth="1" bestFit="1" width="10.0" style="5"/>
    <col min="7126" max="7126" customWidth="1" bestFit="1" width="10.0" style="5"/>
    <col min="7127" max="7127" customWidth="1" bestFit="1" width="10.0" style="5"/>
    <col min="7128" max="7128" customWidth="1" bestFit="1" width="10.0" style="5"/>
    <col min="7129" max="7129" customWidth="1" bestFit="1" width="10.0" style="5"/>
    <col min="7130" max="7130" customWidth="1" bestFit="1" width="10.0" style="5"/>
    <col min="7131" max="7131" customWidth="1" bestFit="1" width="10.0" style="5"/>
    <col min="7132" max="7132" customWidth="1" bestFit="1" width="10.0" style="5"/>
    <col min="7133" max="7133" customWidth="1" bestFit="1" width="10.0" style="5"/>
    <col min="7134" max="7134" customWidth="1" bestFit="1" width="10.0" style="5"/>
    <col min="7135" max="7135" customWidth="1" bestFit="1" width="10.0" style="5"/>
    <col min="7136" max="7136" customWidth="1" bestFit="1" width="10.0" style="5"/>
    <col min="7137" max="7137" customWidth="1" bestFit="1" width="10.0" style="5"/>
    <col min="7138" max="7138" customWidth="1" bestFit="1" width="10.0" style="5"/>
    <col min="7139" max="7139" customWidth="1" bestFit="1" width="10.0" style="5"/>
    <col min="7140" max="7140" customWidth="1" bestFit="1" width="10.0" style="5"/>
    <col min="7141" max="7141" customWidth="1" bestFit="1" width="10.0" style="5"/>
    <col min="7142" max="7142" customWidth="1" bestFit="1" width="10.0" style="5"/>
    <col min="7143" max="7143" customWidth="1" bestFit="1" width="10.0" style="5"/>
    <col min="7144" max="7144" customWidth="1" bestFit="1" width="10.0" style="5"/>
    <col min="7145" max="7145" customWidth="1" bestFit="1" width="10.0" style="5"/>
    <col min="7146" max="7146" customWidth="1" bestFit="1" width="10.0" style="5"/>
    <col min="7147" max="7147" customWidth="1" bestFit="1" width="10.0" style="5"/>
    <col min="7148" max="7148" customWidth="1" bestFit="1" width="10.0" style="5"/>
    <col min="7149" max="7149" customWidth="1" bestFit="1" width="10.0" style="5"/>
    <col min="7150" max="7150" customWidth="1" bestFit="1" width="10.0" style="5"/>
    <col min="7151" max="7151" customWidth="1" bestFit="1" width="10.0" style="5"/>
    <col min="7152" max="7152" customWidth="1" bestFit="1" width="10.0" style="5"/>
    <col min="7153" max="7153" customWidth="1" bestFit="1" width="10.0" style="5"/>
    <col min="7154" max="7154" customWidth="1" bestFit="1" width="10.0" style="5"/>
    <col min="7155" max="7155" customWidth="1" bestFit="1" width="10.0" style="5"/>
    <col min="7156" max="7156" customWidth="1" bestFit="1" width="10.0" style="5"/>
    <col min="7157" max="7157" customWidth="1" bestFit="1" width="10.0" style="5"/>
    <col min="7158" max="7158" customWidth="1" bestFit="1" width="10.0" style="5"/>
    <col min="7159" max="7159" customWidth="1" bestFit="1" width="10.0" style="5"/>
    <col min="7160" max="7160" customWidth="1" bestFit="1" width="10.0" style="5"/>
    <col min="7161" max="7161" customWidth="1" bestFit="1" width="10.0" style="5"/>
    <col min="7162" max="7162" customWidth="1" bestFit="1" width="10.0" style="5"/>
    <col min="7163" max="7163" customWidth="1" bestFit="1" width="10.0" style="5"/>
    <col min="7164" max="7164" customWidth="1" bestFit="1" width="10.0" style="5"/>
    <col min="7165" max="7165" customWidth="1" bestFit="1" width="10.0" style="5"/>
    <col min="7166" max="7166" customWidth="1" bestFit="1" width="10.0" style="5"/>
    <col min="7167" max="7167" customWidth="1" bestFit="1" width="10.0" style="5"/>
    <col min="7168" max="7168" customWidth="1" bestFit="1" width="10.0" style="5"/>
    <col min="7169" max="7169" customWidth="1" bestFit="1" width="10.0" style="5"/>
    <col min="7170" max="7170" customWidth="1" bestFit="1" width="10.0" style="5"/>
    <col min="7171" max="7171" customWidth="1" bestFit="1" width="10.0" style="5"/>
    <col min="7172" max="7172" customWidth="1" bestFit="1" width="10.0" style="5"/>
    <col min="7173" max="7173" customWidth="1" bestFit="1" width="10.0" style="5"/>
    <col min="7174" max="7174" customWidth="1" bestFit="1" width="10.0" style="5"/>
    <col min="7175" max="7175" customWidth="1" bestFit="1" width="10.0" style="5"/>
    <col min="7176" max="7176" customWidth="1" bestFit="1" width="10.0" style="5"/>
    <col min="7177" max="7177" customWidth="1" bestFit="1" width="10.0" style="5"/>
    <col min="7178" max="7178" customWidth="1" bestFit="1" width="10.0" style="5"/>
    <col min="7179" max="7179" customWidth="1" bestFit="1" width="10.0" style="5"/>
    <col min="7180" max="7180" customWidth="1" bestFit="1" width="10.0" style="5"/>
    <col min="7181" max="7181" customWidth="1" bestFit="1" width="10.0" style="5"/>
    <col min="7182" max="7182" customWidth="1" bestFit="1" width="10.0" style="5"/>
    <col min="7183" max="7183" customWidth="1" bestFit="1" width="10.0" style="5"/>
    <col min="7184" max="7184" customWidth="1" bestFit="1" width="10.0" style="5"/>
    <col min="7185" max="7185" customWidth="1" bestFit="1" width="10.0" style="5"/>
    <col min="7186" max="7186" customWidth="1" bestFit="1" width="10.0" style="5"/>
    <col min="7187" max="7187" customWidth="1" bestFit="1" width="10.0" style="5"/>
    <col min="7188" max="7188" customWidth="1" bestFit="1" width="10.0" style="5"/>
    <col min="7189" max="7189" customWidth="1" bestFit="1" width="10.0" style="5"/>
    <col min="7190" max="7190" customWidth="1" bestFit="1" width="10.0" style="5"/>
    <col min="7191" max="7191" customWidth="1" bestFit="1" width="10.0" style="5"/>
    <col min="7192" max="7192" customWidth="1" bestFit="1" width="10.0" style="5"/>
    <col min="7193" max="7193" customWidth="1" bestFit="1" width="10.0" style="5"/>
    <col min="7194" max="7194" customWidth="1" bestFit="1" width="10.0" style="5"/>
    <col min="7195" max="7195" customWidth="1" bestFit="1" width="10.0" style="5"/>
    <col min="7196" max="7196" customWidth="1" bestFit="1" width="10.0" style="5"/>
    <col min="7197" max="7197" customWidth="1" bestFit="1" width="10.0" style="5"/>
    <col min="7198" max="7198" customWidth="1" bestFit="1" width="10.0" style="5"/>
    <col min="7199" max="7199" customWidth="1" bestFit="1" width="10.0" style="5"/>
    <col min="7200" max="7200" customWidth="1" bestFit="1" width="10.0" style="5"/>
    <col min="7201" max="7201" customWidth="1" bestFit="1" width="10.0" style="5"/>
    <col min="7202" max="7202" customWidth="1" bestFit="1" width="10.0" style="5"/>
    <col min="7203" max="7203" customWidth="1" bestFit="1" width="10.0" style="5"/>
    <col min="7204" max="7204" customWidth="1" bestFit="1" width="10.0" style="5"/>
    <col min="7205" max="7205" customWidth="1" bestFit="1" width="10.0" style="5"/>
    <col min="7206" max="7206" customWidth="1" bestFit="1" width="10.0" style="5"/>
    <col min="7207" max="7207" customWidth="1" bestFit="1" width="10.0" style="5"/>
    <col min="7208" max="7208" customWidth="1" bestFit="1" width="10.0" style="5"/>
    <col min="7209" max="7209" customWidth="1" bestFit="1" width="10.0" style="5"/>
    <col min="7210" max="7210" customWidth="1" bestFit="1" width="10.0" style="5"/>
    <col min="7211" max="7211" customWidth="1" bestFit="1" width="10.0" style="5"/>
    <col min="7212" max="7212" customWidth="1" bestFit="1" width="10.0" style="5"/>
    <col min="7213" max="7213" customWidth="1" bestFit="1" width="10.0" style="5"/>
    <col min="7214" max="7214" customWidth="1" bestFit="1" width="10.0" style="5"/>
    <col min="7215" max="7215" customWidth="1" bestFit="1" width="10.0" style="5"/>
    <col min="7216" max="7216" customWidth="1" bestFit="1" width="10.0" style="5"/>
    <col min="7217" max="7217" customWidth="1" bestFit="1" width="10.0" style="5"/>
    <col min="7218" max="7218" customWidth="1" bestFit="1" width="10.0" style="5"/>
    <col min="7219" max="7219" customWidth="1" bestFit="1" width="10.0" style="5"/>
    <col min="7220" max="7220" customWidth="1" bestFit="1" width="10.0" style="5"/>
    <col min="7221" max="7221" customWidth="1" bestFit="1" width="10.0" style="5"/>
    <col min="7222" max="7222" customWidth="1" bestFit="1" width="10.0" style="5"/>
    <col min="7223" max="7223" customWidth="1" bestFit="1" width="10.0" style="5"/>
    <col min="7224" max="7224" customWidth="1" bestFit="1" width="10.0" style="5"/>
    <col min="7225" max="7225" customWidth="1" bestFit="1" width="10.0" style="5"/>
    <col min="7226" max="7226" customWidth="1" bestFit="1" width="10.0" style="5"/>
    <col min="7227" max="7227" customWidth="1" bestFit="1" width="10.0" style="5"/>
    <col min="7228" max="7228" customWidth="1" bestFit="1" width="10.0" style="5"/>
    <col min="7229" max="7229" customWidth="1" bestFit="1" width="10.0" style="5"/>
    <col min="7230" max="7230" customWidth="1" bestFit="1" width="10.0" style="5"/>
    <col min="7231" max="7231" customWidth="1" bestFit="1" width="10.0" style="5"/>
    <col min="7232" max="7232" customWidth="1" bestFit="1" width="10.0" style="5"/>
    <col min="7233" max="7233" customWidth="1" bestFit="1" width="10.0" style="5"/>
    <col min="7234" max="7234" customWidth="1" bestFit="1" width="10.0" style="5"/>
    <col min="7235" max="7235" customWidth="1" bestFit="1" width="10.0" style="5"/>
    <col min="7236" max="7236" customWidth="1" bestFit="1" width="10.0" style="5"/>
    <col min="7237" max="7237" customWidth="1" bestFit="1" width="10.0" style="5"/>
    <col min="7238" max="7238" customWidth="1" bestFit="1" width="10.0" style="5"/>
    <col min="7239" max="7239" customWidth="1" bestFit="1" width="10.0" style="5"/>
    <col min="7240" max="7240" customWidth="1" bestFit="1" width="10.0" style="5"/>
    <col min="7241" max="7241" customWidth="1" bestFit="1" width="10.0" style="5"/>
    <col min="7242" max="7242" customWidth="1" bestFit="1" width="10.0" style="5"/>
    <col min="7243" max="7243" customWidth="1" bestFit="1" width="10.0" style="5"/>
    <col min="7244" max="7244" customWidth="1" bestFit="1" width="10.0" style="5"/>
    <col min="7245" max="7245" customWidth="1" bestFit="1" width="10.0" style="5"/>
    <col min="7246" max="7246" customWidth="1" bestFit="1" width="10.0" style="5"/>
    <col min="7247" max="7247" customWidth="1" bestFit="1" width="10.0" style="5"/>
    <col min="7248" max="7248" customWidth="1" bestFit="1" width="10.0" style="5"/>
    <col min="7249" max="7249" customWidth="1" bestFit="1" width="10.0" style="5"/>
    <col min="7250" max="7250" customWidth="1" bestFit="1" width="10.0" style="5"/>
    <col min="7251" max="7251" customWidth="1" bestFit="1" width="10.0" style="5"/>
    <col min="7252" max="7252" customWidth="1" bestFit="1" width="10.0" style="5"/>
    <col min="7253" max="7253" customWidth="1" bestFit="1" width="10.0" style="5"/>
    <col min="7254" max="7254" customWidth="1" bestFit="1" width="10.0" style="5"/>
    <col min="7255" max="7255" customWidth="1" bestFit="1" width="10.0" style="5"/>
    <col min="7256" max="7256" customWidth="1" bestFit="1" width="10.0" style="5"/>
    <col min="7257" max="7257" customWidth="1" bestFit="1" width="10.0" style="5"/>
    <col min="7258" max="7258" customWidth="1" bestFit="1" width="10.0" style="5"/>
    <col min="7259" max="7259" customWidth="1" bestFit="1" width="10.0" style="5"/>
    <col min="7260" max="7260" customWidth="1" bestFit="1" width="10.0" style="5"/>
    <col min="7261" max="7261" customWidth="1" bestFit="1" width="10.0" style="5"/>
    <col min="7262" max="7262" customWidth="1" bestFit="1" width="10.0" style="5"/>
    <col min="7263" max="7263" customWidth="1" bestFit="1" width="10.0" style="5"/>
    <col min="7264" max="7264" customWidth="1" bestFit="1" width="10.0" style="5"/>
    <col min="7265" max="7265" customWidth="1" bestFit="1" width="10.0" style="5"/>
    <col min="7266" max="7266" customWidth="1" bestFit="1" width="10.0" style="5"/>
    <col min="7267" max="7267" customWidth="1" bestFit="1" width="10.0" style="5"/>
    <col min="7268" max="7268" customWidth="1" bestFit="1" width="10.0" style="5"/>
    <col min="7269" max="7269" customWidth="1" bestFit="1" width="10.0" style="5"/>
    <col min="7270" max="7270" customWidth="1" bestFit="1" width="10.0" style="5"/>
    <col min="7271" max="7271" customWidth="1" bestFit="1" width="10.0" style="5"/>
    <col min="7272" max="7272" customWidth="1" bestFit="1" width="10.0" style="5"/>
    <col min="7273" max="7273" customWidth="1" bestFit="1" width="10.0" style="5"/>
    <col min="7274" max="7274" customWidth="1" bestFit="1" width="10.0" style="5"/>
    <col min="7275" max="7275" customWidth="1" bestFit="1" width="10.0" style="5"/>
    <col min="7276" max="7276" customWidth="1" bestFit="1" width="10.0" style="5"/>
    <col min="7277" max="7277" customWidth="1" bestFit="1" width="10.0" style="5"/>
    <col min="7278" max="7278" customWidth="1" bestFit="1" width="10.0" style="5"/>
    <col min="7279" max="7279" customWidth="1" bestFit="1" width="10.0" style="5"/>
    <col min="7280" max="7280" customWidth="1" bestFit="1" width="10.0" style="5"/>
    <col min="7281" max="7281" customWidth="1" bestFit="1" width="10.0" style="5"/>
    <col min="7282" max="7282" customWidth="1" bestFit="1" width="10.0" style="5"/>
    <col min="7283" max="7283" customWidth="1" bestFit="1" width="10.0" style="5"/>
    <col min="7284" max="7284" customWidth="1" bestFit="1" width="10.0" style="5"/>
    <col min="7285" max="7285" customWidth="1" bestFit="1" width="10.0" style="5"/>
    <col min="7286" max="7286" customWidth="1" bestFit="1" width="10.0" style="5"/>
    <col min="7287" max="7287" customWidth="1" bestFit="1" width="10.0" style="5"/>
    <col min="7288" max="7288" customWidth="1" bestFit="1" width="10.0" style="5"/>
    <col min="7289" max="7289" customWidth="1" bestFit="1" width="10.0" style="5"/>
    <col min="7290" max="7290" customWidth="1" bestFit="1" width="10.0" style="5"/>
    <col min="7291" max="7291" customWidth="1" bestFit="1" width="10.0" style="5"/>
    <col min="7292" max="7292" customWidth="1" bestFit="1" width="10.0" style="5"/>
    <col min="7293" max="7293" customWidth="1" bestFit="1" width="10.0" style="5"/>
    <col min="7294" max="7294" customWidth="1" bestFit="1" width="10.0" style="5"/>
    <col min="7295" max="7295" customWidth="1" bestFit="1" width="10.0" style="5"/>
    <col min="7296" max="7296" customWidth="1" bestFit="1" width="10.0" style="5"/>
    <col min="7297" max="7297" customWidth="1" bestFit="1" width="10.0" style="5"/>
    <col min="7298" max="7298" customWidth="1" bestFit="1" width="10.0" style="5"/>
    <col min="7299" max="7299" customWidth="1" bestFit="1" width="10.0" style="5"/>
    <col min="7300" max="7300" customWidth="1" bestFit="1" width="10.0" style="5"/>
    <col min="7301" max="7301" customWidth="1" bestFit="1" width="10.0" style="5"/>
    <col min="7302" max="7302" customWidth="1" bestFit="1" width="10.0" style="5"/>
    <col min="7303" max="7303" customWidth="1" bestFit="1" width="10.0" style="5"/>
    <col min="7304" max="7304" customWidth="1" bestFit="1" width="10.0" style="5"/>
    <col min="7305" max="7305" customWidth="1" bestFit="1" width="10.0" style="5"/>
    <col min="7306" max="7306" customWidth="1" bestFit="1" width="10.0" style="5"/>
    <col min="7307" max="7307" customWidth="1" bestFit="1" width="10.0" style="5"/>
    <col min="7308" max="7308" customWidth="1" bestFit="1" width="10.0" style="5"/>
    <col min="7309" max="7309" customWidth="1" bestFit="1" width="10.0" style="5"/>
    <col min="7310" max="7310" customWidth="1" bestFit="1" width="10.0" style="5"/>
    <col min="7311" max="7311" customWidth="1" bestFit="1" width="10.0" style="5"/>
    <col min="7312" max="7312" customWidth="1" bestFit="1" width="10.0" style="5"/>
    <col min="7313" max="7313" customWidth="1" bestFit="1" width="10.0" style="5"/>
    <col min="7314" max="7314" customWidth="1" bestFit="1" width="10.0" style="5"/>
    <col min="7315" max="7315" customWidth="1" bestFit="1" width="10.0" style="5"/>
    <col min="7316" max="7316" customWidth="1" bestFit="1" width="10.0" style="5"/>
    <col min="7317" max="7317" customWidth="1" bestFit="1" width="10.0" style="5"/>
    <col min="7318" max="7318" customWidth="1" bestFit="1" width="10.0" style="5"/>
    <col min="7319" max="7319" customWidth="1" bestFit="1" width="10.0" style="5"/>
    <col min="7320" max="7320" customWidth="1" bestFit="1" width="10.0" style="5"/>
    <col min="7321" max="7321" customWidth="1" bestFit="1" width="10.0" style="5"/>
    <col min="7322" max="7322" customWidth="1" bestFit="1" width="10.0" style="5"/>
    <col min="7323" max="7323" customWidth="1" bestFit="1" width="10.0" style="5"/>
    <col min="7324" max="7324" customWidth="1" bestFit="1" width="10.0" style="5"/>
    <col min="7325" max="7325" customWidth="1" bestFit="1" width="10.0" style="5"/>
    <col min="7326" max="7326" customWidth="1" bestFit="1" width="10.0" style="5"/>
    <col min="7327" max="7327" customWidth="1" bestFit="1" width="10.0" style="5"/>
    <col min="7328" max="7328" customWidth="1" bestFit="1" width="10.0" style="5"/>
    <col min="7329" max="7329" customWidth="1" bestFit="1" width="10.0" style="5"/>
    <col min="7330" max="7330" customWidth="1" bestFit="1" width="10.0" style="5"/>
    <col min="7331" max="7331" customWidth="1" bestFit="1" width="10.0" style="5"/>
    <col min="7332" max="7332" customWidth="1" bestFit="1" width="10.0" style="5"/>
    <col min="7333" max="7333" customWidth="1" bestFit="1" width="10.0" style="5"/>
    <col min="7334" max="7334" customWidth="1" bestFit="1" width="10.0" style="5"/>
    <col min="7335" max="7335" customWidth="1" bestFit="1" width="10.0" style="5"/>
    <col min="7336" max="7336" customWidth="1" bestFit="1" width="10.0" style="5"/>
    <col min="7337" max="7337" customWidth="1" bestFit="1" width="10.0" style="5"/>
    <col min="7338" max="7338" customWidth="1" bestFit="1" width="10.0" style="5"/>
    <col min="7339" max="7339" customWidth="1" bestFit="1" width="10.0" style="5"/>
    <col min="7340" max="7340" customWidth="1" bestFit="1" width="10.0" style="5"/>
    <col min="7341" max="7341" customWidth="1" bestFit="1" width="10.0" style="5"/>
    <col min="7342" max="7342" customWidth="1" bestFit="1" width="10.0" style="5"/>
    <col min="7343" max="7343" customWidth="1" bestFit="1" width="10.0" style="5"/>
    <col min="7344" max="7344" customWidth="1" bestFit="1" width="10.0" style="5"/>
    <col min="7345" max="7345" customWidth="1" bestFit="1" width="10.0" style="5"/>
    <col min="7346" max="7346" customWidth="1" bestFit="1" width="10.0" style="5"/>
    <col min="7347" max="7347" customWidth="1" bestFit="1" width="10.0" style="5"/>
    <col min="7348" max="7348" customWidth="1" bestFit="1" width="10.0" style="5"/>
    <col min="7349" max="7349" customWidth="1" bestFit="1" width="10.0" style="5"/>
    <col min="7350" max="7350" customWidth="1" bestFit="1" width="10.0" style="5"/>
    <col min="7351" max="7351" customWidth="1" bestFit="1" width="10.0" style="5"/>
    <col min="7352" max="7352" customWidth="1" bestFit="1" width="10.0" style="5"/>
    <col min="7353" max="7353" customWidth="1" bestFit="1" width="10.0" style="5"/>
    <col min="7354" max="7354" customWidth="1" bestFit="1" width="10.0" style="5"/>
    <col min="7355" max="7355" customWidth="1" bestFit="1" width="10.0" style="5"/>
    <col min="7356" max="7356" customWidth="1" bestFit="1" width="10.0" style="5"/>
    <col min="7357" max="7357" customWidth="1" bestFit="1" width="10.0" style="5"/>
    <col min="7358" max="7358" customWidth="1" bestFit="1" width="10.0" style="5"/>
    <col min="7359" max="7359" customWidth="1" bestFit="1" width="10.0" style="5"/>
    <col min="7360" max="7360" customWidth="1" bestFit="1" width="10.0" style="5"/>
    <col min="7361" max="7361" customWidth="1" bestFit="1" width="10.0" style="5"/>
    <col min="7362" max="7362" customWidth="1" bestFit="1" width="10.0" style="5"/>
    <col min="7363" max="7363" customWidth="1" bestFit="1" width="10.0" style="5"/>
    <col min="7364" max="7364" customWidth="1" bestFit="1" width="10.0" style="5"/>
    <col min="7365" max="7365" customWidth="1" bestFit="1" width="10.0" style="5"/>
    <col min="7366" max="7366" customWidth="1" bestFit="1" width="10.0" style="5"/>
    <col min="7367" max="7367" customWidth="1" bestFit="1" width="10.0" style="5"/>
    <col min="7368" max="7368" customWidth="1" bestFit="1" width="10.0" style="5"/>
    <col min="7369" max="7369" customWidth="1" bestFit="1" width="10.0" style="5"/>
    <col min="7370" max="7370" customWidth="1" bestFit="1" width="10.0" style="5"/>
    <col min="7371" max="7371" customWidth="1" bestFit="1" width="10.0" style="5"/>
    <col min="7372" max="7372" customWidth="1" bestFit="1" width="10.0" style="5"/>
    <col min="7373" max="7373" customWidth="1" bestFit="1" width="10.0" style="5"/>
    <col min="7374" max="7374" customWidth="1" bestFit="1" width="10.0" style="5"/>
    <col min="7375" max="7375" customWidth="1" bestFit="1" width="10.0" style="5"/>
    <col min="7376" max="7376" customWidth="1" bestFit="1" width="10.0" style="5"/>
    <col min="7377" max="7377" customWidth="1" bestFit="1" width="10.0" style="5"/>
    <col min="7378" max="7378" customWidth="1" bestFit="1" width="10.0" style="5"/>
    <col min="7379" max="7379" customWidth="1" bestFit="1" width="10.0" style="5"/>
    <col min="7380" max="7380" customWidth="1" bestFit="1" width="10.0" style="5"/>
    <col min="7381" max="7381" customWidth="1" bestFit="1" width="10.0" style="5"/>
    <col min="7382" max="7382" customWidth="1" bestFit="1" width="10.0" style="5"/>
    <col min="7383" max="7383" customWidth="1" bestFit="1" width="10.0" style="5"/>
    <col min="7384" max="7384" customWidth="1" bestFit="1" width="10.0" style="5"/>
    <col min="7385" max="7385" customWidth="1" bestFit="1" width="10.0" style="5"/>
    <col min="7386" max="7386" customWidth="1" bestFit="1" width="10.0" style="5"/>
    <col min="7387" max="7387" customWidth="1" bestFit="1" width="10.0" style="5"/>
    <col min="7388" max="7388" customWidth="1" bestFit="1" width="10.0" style="5"/>
    <col min="7389" max="7389" customWidth="1" bestFit="1" width="10.0" style="5"/>
    <col min="7390" max="7390" customWidth="1" bestFit="1" width="10.0" style="5"/>
    <col min="7391" max="7391" customWidth="1" bestFit="1" width="10.0" style="5"/>
    <col min="7392" max="7392" customWidth="1" bestFit="1" width="10.0" style="5"/>
    <col min="7393" max="7393" customWidth="1" bestFit="1" width="10.0" style="5"/>
    <col min="7394" max="7394" customWidth="1" bestFit="1" width="10.0" style="5"/>
    <col min="7395" max="7395" customWidth="1" bestFit="1" width="10.0" style="5"/>
    <col min="7396" max="7396" customWidth="1" bestFit="1" width="10.0" style="5"/>
    <col min="7397" max="7397" customWidth="1" bestFit="1" width="10.0" style="5"/>
    <col min="7398" max="7398" customWidth="1" bestFit="1" width="10.0" style="5"/>
    <col min="7399" max="7399" customWidth="1" bestFit="1" width="10.0" style="5"/>
    <col min="7400" max="7400" customWidth="1" bestFit="1" width="10.0" style="5"/>
    <col min="7401" max="7401" customWidth="1" bestFit="1" width="10.0" style="5"/>
    <col min="7402" max="7402" customWidth="1" bestFit="1" width="10.0" style="5"/>
    <col min="7403" max="7403" customWidth="1" bestFit="1" width="10.0" style="5"/>
    <col min="7404" max="7404" customWidth="1" bestFit="1" width="10.0" style="5"/>
    <col min="7405" max="7405" customWidth="1" bestFit="1" width="10.0" style="5"/>
    <col min="7406" max="7406" customWidth="1" bestFit="1" width="10.0" style="5"/>
    <col min="7407" max="7407" customWidth="1" bestFit="1" width="10.0" style="5"/>
    <col min="7408" max="7408" customWidth="1" bestFit="1" width="10.0" style="5"/>
    <col min="7409" max="7409" customWidth="1" bestFit="1" width="10.0" style="5"/>
    <col min="7410" max="7410" customWidth="1" bestFit="1" width="10.0" style="5"/>
    <col min="7411" max="7411" customWidth="1" bestFit="1" width="10.0" style="5"/>
    <col min="7412" max="7412" customWidth="1" bestFit="1" width="10.0" style="5"/>
    <col min="7413" max="7413" customWidth="1" bestFit="1" width="10.0" style="5"/>
    <col min="7414" max="7414" customWidth="1" bestFit="1" width="10.0" style="5"/>
    <col min="7415" max="7415" customWidth="1" bestFit="1" width="10.0" style="5"/>
    <col min="7416" max="7416" customWidth="1" bestFit="1" width="10.0" style="5"/>
    <col min="7417" max="7417" customWidth="1" bestFit="1" width="10.0" style="5"/>
    <col min="7418" max="7418" customWidth="1" bestFit="1" width="10.0" style="5"/>
    <col min="7419" max="7419" customWidth="1" bestFit="1" width="10.0" style="5"/>
    <col min="7420" max="7420" customWidth="1" bestFit="1" width="10.0" style="5"/>
    <col min="7421" max="7421" customWidth="1" bestFit="1" width="10.0" style="5"/>
    <col min="7422" max="7422" customWidth="1" bestFit="1" width="10.0" style="5"/>
    <col min="7423" max="7423" customWidth="1" bestFit="1" width="10.0" style="5"/>
    <col min="7424" max="7424" customWidth="1" bestFit="1" width="10.0" style="5"/>
    <col min="7425" max="7425" customWidth="1" bestFit="1" width="10.0" style="5"/>
    <col min="7426" max="7426" customWidth="1" bestFit="1" width="10.0" style="5"/>
    <col min="7427" max="7427" customWidth="1" bestFit="1" width="10.0" style="5"/>
    <col min="7428" max="7428" customWidth="1" bestFit="1" width="10.0" style="5"/>
    <col min="7429" max="7429" customWidth="1" bestFit="1" width="10.0" style="5"/>
    <col min="7430" max="7430" customWidth="1" bestFit="1" width="10.0" style="5"/>
    <col min="7431" max="7431" customWidth="1" bestFit="1" width="10.0" style="5"/>
    <col min="7432" max="7432" customWidth="1" bestFit="1" width="10.0" style="5"/>
    <col min="7433" max="7433" customWidth="1" bestFit="1" width="10.0" style="5"/>
    <col min="7434" max="7434" customWidth="1" bestFit="1" width="10.0" style="5"/>
    <col min="7435" max="7435" customWidth="1" bestFit="1" width="10.0" style="5"/>
    <col min="7436" max="7436" customWidth="1" bestFit="1" width="10.0" style="5"/>
    <col min="7437" max="7437" customWidth="1" bestFit="1" width="10.0" style="5"/>
    <col min="7438" max="7438" customWidth="1" bestFit="1" width="10.0" style="5"/>
    <col min="7439" max="7439" customWidth="1" bestFit="1" width="10.0" style="5"/>
    <col min="7440" max="7440" customWidth="1" bestFit="1" width="10.0" style="5"/>
    <col min="7441" max="7441" customWidth="1" bestFit="1" width="10.0" style="5"/>
    <col min="7442" max="7442" customWidth="1" bestFit="1" width="10.0" style="5"/>
    <col min="7443" max="7443" customWidth="1" bestFit="1" width="10.0" style="5"/>
    <col min="7444" max="7444" customWidth="1" bestFit="1" width="10.0" style="5"/>
    <col min="7445" max="7445" customWidth="1" bestFit="1" width="10.0" style="5"/>
    <col min="7446" max="7446" customWidth="1" bestFit="1" width="10.0" style="5"/>
    <col min="7447" max="7447" customWidth="1" bestFit="1" width="10.0" style="5"/>
    <col min="7448" max="7448" customWidth="1" bestFit="1" width="10.0" style="5"/>
    <col min="7449" max="7449" customWidth="1" bestFit="1" width="10.0" style="5"/>
    <col min="7450" max="7450" customWidth="1" bestFit="1" width="10.0" style="5"/>
    <col min="7451" max="7451" customWidth="1" bestFit="1" width="10.0" style="5"/>
    <col min="7452" max="7452" customWidth="1" bestFit="1" width="10.0" style="5"/>
    <col min="7453" max="7453" customWidth="1" bestFit="1" width="10.0" style="5"/>
    <col min="7454" max="7454" customWidth="1" bestFit="1" width="10.0" style="5"/>
    <col min="7455" max="7455" customWidth="1" bestFit="1" width="10.0" style="5"/>
    <col min="7456" max="7456" customWidth="1" bestFit="1" width="10.0" style="5"/>
    <col min="7457" max="7457" customWidth="1" bestFit="1" width="10.0" style="5"/>
    <col min="7458" max="7458" customWidth="1" bestFit="1" width="10.0" style="5"/>
    <col min="7459" max="7459" customWidth="1" bestFit="1" width="10.0" style="5"/>
    <col min="7460" max="7460" customWidth="1" bestFit="1" width="10.0" style="5"/>
    <col min="7461" max="7461" customWidth="1" bestFit="1" width="10.0" style="5"/>
    <col min="7462" max="7462" customWidth="1" bestFit="1" width="10.0" style="5"/>
    <col min="7463" max="7463" customWidth="1" bestFit="1" width="10.0" style="5"/>
    <col min="7464" max="7464" customWidth="1" bestFit="1" width="10.0" style="5"/>
    <col min="7465" max="7465" customWidth="1" bestFit="1" width="10.0" style="5"/>
    <col min="7466" max="7466" customWidth="1" bestFit="1" width="10.0" style="5"/>
    <col min="7467" max="7467" customWidth="1" bestFit="1" width="10.0" style="5"/>
    <col min="7468" max="7468" customWidth="1" bestFit="1" width="10.0" style="5"/>
    <col min="7469" max="7469" customWidth="1" bestFit="1" width="10.0" style="5"/>
    <col min="7470" max="7470" customWidth="1" bestFit="1" width="10.0" style="5"/>
    <col min="7471" max="7471" customWidth="1" bestFit="1" width="10.0" style="5"/>
    <col min="7472" max="7472" customWidth="1" bestFit="1" width="10.0" style="5"/>
    <col min="7473" max="7473" customWidth="1" bestFit="1" width="10.0" style="5"/>
    <col min="7474" max="7474" customWidth="1" bestFit="1" width="10.0" style="5"/>
    <col min="7475" max="7475" customWidth="1" bestFit="1" width="10.0" style="5"/>
    <col min="7476" max="7476" customWidth="1" bestFit="1" width="10.0" style="5"/>
    <col min="7477" max="7477" customWidth="1" bestFit="1" width="10.0" style="5"/>
    <col min="7478" max="7478" customWidth="1" bestFit="1" width="10.0" style="5"/>
    <col min="7479" max="7479" customWidth="1" bestFit="1" width="10.0" style="5"/>
    <col min="7480" max="7480" customWidth="1" bestFit="1" width="10.0" style="5"/>
    <col min="7481" max="7481" customWidth="1" bestFit="1" width="10.0" style="5"/>
    <col min="7482" max="7482" customWidth="1" bestFit="1" width="10.0" style="5"/>
    <col min="7483" max="7483" customWidth="1" bestFit="1" width="10.0" style="5"/>
    <col min="7484" max="7484" customWidth="1" bestFit="1" width="10.0" style="5"/>
    <col min="7485" max="7485" customWidth="1" bestFit="1" width="10.0" style="5"/>
    <col min="7486" max="7486" customWidth="1" bestFit="1" width="10.0" style="5"/>
    <col min="7487" max="7487" customWidth="1" bestFit="1" width="10.0" style="5"/>
    <col min="7488" max="7488" customWidth="1" bestFit="1" width="10.0" style="5"/>
    <col min="7489" max="7489" customWidth="1" bestFit="1" width="10.0" style="5"/>
    <col min="7490" max="7490" customWidth="1" bestFit="1" width="10.0" style="5"/>
    <col min="7491" max="7491" customWidth="1" bestFit="1" width="10.0" style="5"/>
    <col min="7492" max="7492" customWidth="1" bestFit="1" width="10.0" style="5"/>
    <col min="7493" max="7493" customWidth="1" bestFit="1" width="10.0" style="5"/>
    <col min="7494" max="7494" customWidth="1" bestFit="1" width="10.0" style="5"/>
    <col min="7495" max="7495" customWidth="1" bestFit="1" width="10.0" style="5"/>
    <col min="7496" max="7496" customWidth="1" bestFit="1" width="10.0" style="5"/>
    <col min="7497" max="7497" customWidth="1" bestFit="1" width="10.0" style="5"/>
    <col min="7498" max="7498" customWidth="1" bestFit="1" width="10.0" style="5"/>
    <col min="7499" max="7499" customWidth="1" bestFit="1" width="10.0" style="5"/>
    <col min="7500" max="7500" customWidth="1" bestFit="1" width="10.0" style="5"/>
    <col min="7501" max="7501" customWidth="1" bestFit="1" width="10.0" style="5"/>
    <col min="7502" max="7502" customWidth="1" bestFit="1" width="10.0" style="5"/>
    <col min="7503" max="7503" customWidth="1" bestFit="1" width="10.0" style="5"/>
    <col min="7504" max="7504" customWidth="1" bestFit="1" width="10.0" style="5"/>
    <col min="7505" max="7505" customWidth="1" bestFit="1" width="10.0" style="5"/>
    <col min="7506" max="7506" customWidth="1" bestFit="1" width="10.0" style="5"/>
    <col min="7507" max="7507" customWidth="1" bestFit="1" width="10.0" style="5"/>
    <col min="7508" max="7508" customWidth="1" bestFit="1" width="10.0" style="5"/>
    <col min="7509" max="7509" customWidth="1" bestFit="1" width="10.0" style="5"/>
    <col min="7510" max="7510" customWidth="1" bestFit="1" width="10.0" style="5"/>
    <col min="7511" max="7511" customWidth="1" bestFit="1" width="10.0" style="5"/>
    <col min="7512" max="7512" customWidth="1" bestFit="1" width="10.0" style="5"/>
    <col min="7513" max="7513" customWidth="1" bestFit="1" width="10.0" style="5"/>
    <col min="7514" max="7514" customWidth="1" bestFit="1" width="10.0" style="5"/>
    <col min="7515" max="7515" customWidth="1" bestFit="1" width="10.0" style="5"/>
    <col min="7516" max="7516" customWidth="1" bestFit="1" width="10.0" style="5"/>
    <col min="7517" max="7517" customWidth="1" bestFit="1" width="10.0" style="5"/>
    <col min="7518" max="7518" customWidth="1" bestFit="1" width="10.0" style="5"/>
    <col min="7519" max="7519" customWidth="1" bestFit="1" width="10.0" style="5"/>
    <col min="7520" max="7520" customWidth="1" bestFit="1" width="10.0" style="5"/>
    <col min="7521" max="7521" customWidth="1" bestFit="1" width="10.0" style="5"/>
    <col min="7522" max="7522" customWidth="1" bestFit="1" width="10.0" style="5"/>
    <col min="7523" max="7523" customWidth="1" bestFit="1" width="10.0" style="5"/>
    <col min="7524" max="7524" customWidth="1" bestFit="1" width="10.0" style="5"/>
    <col min="7525" max="7525" customWidth="1" bestFit="1" width="10.0" style="5"/>
    <col min="7526" max="7526" customWidth="1" bestFit="1" width="10.0" style="5"/>
    <col min="7527" max="7527" customWidth="1" bestFit="1" width="10.0" style="5"/>
    <col min="7528" max="7528" customWidth="1" bestFit="1" width="10.0" style="5"/>
    <col min="7529" max="7529" customWidth="1" bestFit="1" width="10.0" style="5"/>
    <col min="7530" max="7530" customWidth="1" bestFit="1" width="10.0" style="5"/>
    <col min="7531" max="7531" customWidth="1" bestFit="1" width="10.0" style="5"/>
    <col min="7532" max="7532" customWidth="1" bestFit="1" width="10.0" style="5"/>
    <col min="7533" max="7533" customWidth="1" bestFit="1" width="10.0" style="5"/>
    <col min="7534" max="7534" customWidth="1" bestFit="1" width="10.0" style="5"/>
    <col min="7535" max="7535" customWidth="1" bestFit="1" width="10.0" style="5"/>
    <col min="7536" max="7536" customWidth="1" bestFit="1" width="10.0" style="5"/>
    <col min="7537" max="7537" customWidth="1" bestFit="1" width="10.0" style="5"/>
    <col min="7538" max="7538" customWidth="1" bestFit="1" width="10.0" style="5"/>
    <col min="7539" max="7539" customWidth="1" bestFit="1" width="10.0" style="5"/>
    <col min="7540" max="7540" customWidth="1" bestFit="1" width="10.0" style="5"/>
    <col min="7541" max="7541" customWidth="1" bestFit="1" width="10.0" style="5"/>
    <col min="7542" max="7542" customWidth="1" bestFit="1" width="10.0" style="5"/>
    <col min="7543" max="7543" customWidth="1" bestFit="1" width="10.0" style="5"/>
    <col min="7544" max="7544" customWidth="1" bestFit="1" width="10.0" style="5"/>
    <col min="7545" max="7545" customWidth="1" bestFit="1" width="10.0" style="5"/>
    <col min="7546" max="7546" customWidth="1" bestFit="1" width="10.0" style="5"/>
    <col min="7547" max="7547" customWidth="1" bestFit="1" width="10.0" style="5"/>
    <col min="7548" max="7548" customWidth="1" bestFit="1" width="10.0" style="5"/>
    <col min="7549" max="7549" customWidth="1" bestFit="1" width="10.0" style="5"/>
    <col min="7550" max="7550" customWidth="1" bestFit="1" width="10.0" style="5"/>
    <col min="7551" max="7551" customWidth="1" bestFit="1" width="10.0" style="5"/>
    <col min="7552" max="7552" customWidth="1" bestFit="1" width="10.0" style="5"/>
    <col min="7553" max="7553" customWidth="1" bestFit="1" width="10.0" style="5"/>
    <col min="7554" max="7554" customWidth="1" bestFit="1" width="10.0" style="5"/>
    <col min="7555" max="7555" customWidth="1" bestFit="1" width="10.0" style="5"/>
    <col min="7556" max="7556" customWidth="1" bestFit="1" width="10.0" style="5"/>
    <col min="7557" max="7557" customWidth="1" bestFit="1" width="10.0" style="5"/>
    <col min="7558" max="7558" customWidth="1" bestFit="1" width="10.0" style="5"/>
    <col min="7559" max="7559" customWidth="1" bestFit="1" width="10.0" style="5"/>
    <col min="7560" max="7560" customWidth="1" bestFit="1" width="10.0" style="5"/>
    <col min="7561" max="7561" customWidth="1" bestFit="1" width="10.0" style="5"/>
    <col min="7562" max="7562" customWidth="1" bestFit="1" width="10.0" style="5"/>
    <col min="7563" max="7563" customWidth="1" bestFit="1" width="10.0" style="5"/>
    <col min="7564" max="7564" customWidth="1" bestFit="1" width="10.0" style="5"/>
    <col min="7565" max="7565" customWidth="1" bestFit="1" width="10.0" style="5"/>
    <col min="7566" max="7566" customWidth="1" bestFit="1" width="10.0" style="5"/>
    <col min="7567" max="7567" customWidth="1" bestFit="1" width="10.0" style="5"/>
    <col min="7568" max="7568" customWidth="1" bestFit="1" width="10.0" style="5"/>
    <col min="7569" max="7569" customWidth="1" bestFit="1" width="10.0" style="5"/>
    <col min="7570" max="7570" customWidth="1" bestFit="1" width="10.0" style="5"/>
    <col min="7571" max="7571" customWidth="1" bestFit="1" width="10.0" style="5"/>
    <col min="7572" max="7572" customWidth="1" bestFit="1" width="10.0" style="5"/>
    <col min="7573" max="7573" customWidth="1" bestFit="1" width="10.0" style="5"/>
    <col min="7574" max="7574" customWidth="1" bestFit="1" width="10.0" style="5"/>
    <col min="7575" max="7575" customWidth="1" bestFit="1" width="10.0" style="5"/>
    <col min="7576" max="7576" customWidth="1" bestFit="1" width="10.0" style="5"/>
    <col min="7577" max="7577" customWidth="1" bestFit="1" width="10.0" style="5"/>
    <col min="7578" max="7578" customWidth="1" bestFit="1" width="10.0" style="5"/>
    <col min="7579" max="7579" customWidth="1" bestFit="1" width="10.0" style="5"/>
    <col min="7580" max="7580" customWidth="1" bestFit="1" width="10.0" style="5"/>
    <col min="7581" max="7581" customWidth="1" bestFit="1" width="10.0" style="5"/>
    <col min="7582" max="7582" customWidth="1" bestFit="1" width="10.0" style="5"/>
    <col min="7583" max="7583" customWidth="1" bestFit="1" width="10.0" style="5"/>
    <col min="7584" max="7584" customWidth="1" bestFit="1" width="10.0" style="5"/>
    <col min="7585" max="7585" customWidth="1" bestFit="1" width="10.0" style="5"/>
    <col min="7586" max="7586" customWidth="1" bestFit="1" width="10.0" style="5"/>
    <col min="7587" max="7587" customWidth="1" bestFit="1" width="10.0" style="5"/>
    <col min="7588" max="7588" customWidth="1" bestFit="1" width="10.0" style="5"/>
    <col min="7589" max="7589" customWidth="1" bestFit="1" width="10.0" style="5"/>
    <col min="7590" max="7590" customWidth="1" bestFit="1" width="10.0" style="5"/>
    <col min="7591" max="7591" customWidth="1" bestFit="1" width="10.0" style="5"/>
    <col min="7592" max="7592" customWidth="1" bestFit="1" width="10.0" style="5"/>
    <col min="7593" max="7593" customWidth="1" bestFit="1" width="10.0" style="5"/>
    <col min="7594" max="7594" customWidth="1" bestFit="1" width="10.0" style="5"/>
    <col min="7595" max="7595" customWidth="1" bestFit="1" width="10.0" style="5"/>
    <col min="7596" max="7596" customWidth="1" bestFit="1" width="10.0" style="5"/>
    <col min="7597" max="7597" customWidth="1" bestFit="1" width="10.0" style="5"/>
    <col min="7598" max="7598" customWidth="1" bestFit="1" width="10.0" style="5"/>
    <col min="7599" max="7599" customWidth="1" bestFit="1" width="10.0" style="5"/>
    <col min="7600" max="7600" customWidth="1" bestFit="1" width="10.0" style="5"/>
    <col min="7601" max="7601" customWidth="1" bestFit="1" width="10.0" style="5"/>
    <col min="7602" max="7602" customWidth="1" bestFit="1" width="10.0" style="5"/>
    <col min="7603" max="7603" customWidth="1" bestFit="1" width="10.0" style="5"/>
    <col min="7604" max="7604" customWidth="1" bestFit="1" width="10.0" style="5"/>
    <col min="7605" max="7605" customWidth="1" bestFit="1" width="10.0" style="5"/>
    <col min="7606" max="7606" customWidth="1" bestFit="1" width="10.0" style="5"/>
    <col min="7607" max="7607" customWidth="1" bestFit="1" width="10.0" style="5"/>
    <col min="7608" max="7608" customWidth="1" bestFit="1" width="10.0" style="5"/>
    <col min="7609" max="7609" customWidth="1" bestFit="1" width="10.0" style="5"/>
    <col min="7610" max="7610" customWidth="1" bestFit="1" width="10.0" style="5"/>
    <col min="7611" max="7611" customWidth="1" bestFit="1" width="10.0" style="5"/>
    <col min="7612" max="7612" customWidth="1" bestFit="1" width="10.0" style="5"/>
    <col min="7613" max="7613" customWidth="1" bestFit="1" width="10.0" style="5"/>
    <col min="7614" max="7614" customWidth="1" bestFit="1" width="10.0" style="5"/>
    <col min="7615" max="7615" customWidth="1" bestFit="1" width="10.0" style="5"/>
    <col min="7616" max="7616" customWidth="1" bestFit="1" width="10.0" style="5"/>
    <col min="7617" max="7617" customWidth="1" bestFit="1" width="10.0" style="5"/>
    <col min="7618" max="7618" customWidth="1" bestFit="1" width="10.0" style="5"/>
    <col min="7619" max="7619" customWidth="1" bestFit="1" width="10.0" style="5"/>
    <col min="7620" max="7620" customWidth="1" bestFit="1" width="10.0" style="5"/>
    <col min="7621" max="7621" customWidth="1" bestFit="1" width="10.0" style="5"/>
    <col min="7622" max="7622" customWidth="1" bestFit="1" width="10.0" style="5"/>
    <col min="7623" max="7623" customWidth="1" bestFit="1" width="10.0" style="5"/>
    <col min="7624" max="7624" customWidth="1" bestFit="1" width="10.0" style="5"/>
    <col min="7625" max="7625" customWidth="1" bestFit="1" width="10.0" style="5"/>
    <col min="7626" max="7626" customWidth="1" bestFit="1" width="10.0" style="5"/>
    <col min="7627" max="7627" customWidth="1" bestFit="1" width="10.0" style="5"/>
    <col min="7628" max="7628" customWidth="1" bestFit="1" width="10.0" style="5"/>
    <col min="7629" max="7629" customWidth="1" bestFit="1" width="10.0" style="5"/>
    <col min="7630" max="7630" customWidth="1" bestFit="1" width="10.0" style="5"/>
    <col min="7631" max="7631" customWidth="1" bestFit="1" width="10.0" style="5"/>
    <col min="7632" max="7632" customWidth="1" bestFit="1" width="10.0" style="5"/>
    <col min="7633" max="7633" customWidth="1" bestFit="1" width="10.0" style="5"/>
    <col min="7634" max="7634" customWidth="1" bestFit="1" width="10.0" style="5"/>
    <col min="7635" max="7635" customWidth="1" bestFit="1" width="10.0" style="5"/>
    <col min="7636" max="7636" customWidth="1" bestFit="1" width="10.0" style="5"/>
    <col min="7637" max="7637" customWidth="1" bestFit="1" width="10.0" style="5"/>
    <col min="7638" max="7638" customWidth="1" bestFit="1" width="10.0" style="5"/>
    <col min="7639" max="7639" customWidth="1" bestFit="1" width="10.0" style="5"/>
    <col min="7640" max="7640" customWidth="1" bestFit="1" width="10.0" style="5"/>
    <col min="7641" max="7641" customWidth="1" bestFit="1" width="10.0" style="5"/>
    <col min="7642" max="7642" customWidth="1" bestFit="1" width="10.0" style="5"/>
    <col min="7643" max="7643" customWidth="1" bestFit="1" width="10.0" style="5"/>
    <col min="7644" max="7644" customWidth="1" bestFit="1" width="10.0" style="5"/>
    <col min="7645" max="7645" customWidth="1" bestFit="1" width="10.0" style="5"/>
    <col min="7646" max="7646" customWidth="1" bestFit="1" width="10.0" style="5"/>
    <col min="7647" max="7647" customWidth="1" bestFit="1" width="10.0" style="5"/>
    <col min="7648" max="7648" customWidth="1" bestFit="1" width="10.0" style="5"/>
    <col min="7649" max="7649" customWidth="1" bestFit="1" width="10.0" style="5"/>
    <col min="7650" max="7650" customWidth="1" bestFit="1" width="10.0" style="5"/>
    <col min="7651" max="7651" customWidth="1" bestFit="1" width="10.0" style="5"/>
    <col min="7652" max="7652" customWidth="1" bestFit="1" width="10.0" style="5"/>
    <col min="7653" max="7653" customWidth="1" bestFit="1" width="10.0" style="5"/>
    <col min="7654" max="7654" customWidth="1" bestFit="1" width="10.0" style="5"/>
    <col min="7655" max="7655" customWidth="1" bestFit="1" width="10.0" style="5"/>
    <col min="7656" max="7656" customWidth="1" bestFit="1" width="10.0" style="5"/>
    <col min="7657" max="7657" customWidth="1" bestFit="1" width="10.0" style="5"/>
    <col min="7658" max="7658" customWidth="1" bestFit="1" width="10.0" style="5"/>
    <col min="7659" max="7659" customWidth="1" bestFit="1" width="10.0" style="5"/>
    <col min="7660" max="7660" customWidth="1" bestFit="1" width="10.0" style="5"/>
    <col min="7661" max="7661" customWidth="1" bestFit="1" width="10.0" style="5"/>
    <col min="7662" max="7662" customWidth="1" bestFit="1" width="10.0" style="5"/>
    <col min="7663" max="7663" customWidth="1" bestFit="1" width="10.0" style="5"/>
    <col min="7664" max="7664" customWidth="1" bestFit="1" width="10.0" style="5"/>
    <col min="7665" max="7665" customWidth="1" bestFit="1" width="10.0" style="5"/>
    <col min="7666" max="7666" customWidth="1" bestFit="1" width="10.0" style="5"/>
    <col min="7667" max="7667" customWidth="1" bestFit="1" width="10.0" style="5"/>
    <col min="7668" max="7668" customWidth="1" bestFit="1" width="10.0" style="5"/>
    <col min="7669" max="7669" customWidth="1" bestFit="1" width="10.0" style="5"/>
    <col min="7670" max="7670" customWidth="1" bestFit="1" width="10.0" style="5"/>
    <col min="7671" max="7671" customWidth="1" bestFit="1" width="10.0" style="5"/>
    <col min="7672" max="7672" customWidth="1" bestFit="1" width="10.0" style="5"/>
    <col min="7673" max="7673" customWidth="1" bestFit="1" width="10.0" style="5"/>
    <col min="7674" max="7674" customWidth="1" bestFit="1" width="10.0" style="5"/>
    <col min="7675" max="7675" customWidth="1" bestFit="1" width="10.0" style="5"/>
    <col min="7676" max="7676" customWidth="1" bestFit="1" width="10.0" style="5"/>
    <col min="7677" max="7677" customWidth="1" bestFit="1" width="10.0" style="5"/>
    <col min="7678" max="7678" customWidth="1" bestFit="1" width="10.0" style="5"/>
    <col min="7679" max="7679" customWidth="1" bestFit="1" width="10.0" style="5"/>
    <col min="7680" max="7680" customWidth="1" bestFit="1" width="10.0" style="5"/>
    <col min="7681" max="7681" customWidth="1" bestFit="1" width="10.0" style="5"/>
    <col min="7682" max="7682" customWidth="1" bestFit="1" width="10.0" style="5"/>
    <col min="7683" max="7683" customWidth="1" bestFit="1" width="10.0" style="5"/>
    <col min="7684" max="7684" customWidth="1" bestFit="1" width="10.0" style="5"/>
    <col min="7685" max="7685" customWidth="1" bestFit="1" width="10.0" style="5"/>
    <col min="7686" max="7686" customWidth="1" bestFit="1" width="10.0" style="5"/>
    <col min="7687" max="7687" customWidth="1" bestFit="1" width="10.0" style="5"/>
    <col min="7688" max="7688" customWidth="1" bestFit="1" width="10.0" style="5"/>
    <col min="7689" max="7689" customWidth="1" bestFit="1" width="10.0" style="5"/>
    <col min="7690" max="7690" customWidth="1" bestFit="1" width="10.0" style="5"/>
    <col min="7691" max="7691" customWidth="1" bestFit="1" width="10.0" style="5"/>
    <col min="7692" max="7692" customWidth="1" bestFit="1" width="10.0" style="5"/>
    <col min="7693" max="7693" customWidth="1" bestFit="1" width="10.0" style="5"/>
    <col min="7694" max="7694" customWidth="1" bestFit="1" width="10.0" style="5"/>
    <col min="7695" max="7695" customWidth="1" bestFit="1" width="10.0" style="5"/>
    <col min="7696" max="7696" customWidth="1" bestFit="1" width="10.0" style="5"/>
    <col min="7697" max="7697" customWidth="1" bestFit="1" width="10.0" style="5"/>
    <col min="7698" max="7698" customWidth="1" bestFit="1" width="10.0" style="5"/>
    <col min="7699" max="7699" customWidth="1" bestFit="1" width="10.0" style="5"/>
    <col min="7700" max="7700" customWidth="1" bestFit="1" width="10.0" style="5"/>
    <col min="7701" max="7701" customWidth="1" bestFit="1" width="10.0" style="5"/>
    <col min="7702" max="7702" customWidth="1" bestFit="1" width="10.0" style="5"/>
    <col min="7703" max="7703" customWidth="1" bestFit="1" width="10.0" style="5"/>
    <col min="7704" max="7704" customWidth="1" bestFit="1" width="10.0" style="5"/>
    <col min="7705" max="7705" customWidth="1" bestFit="1" width="10.0" style="5"/>
    <col min="7706" max="7706" customWidth="1" bestFit="1" width="10.0" style="5"/>
    <col min="7707" max="7707" customWidth="1" bestFit="1" width="10.0" style="5"/>
    <col min="7708" max="7708" customWidth="1" bestFit="1" width="10.0" style="5"/>
    <col min="7709" max="7709" customWidth="1" bestFit="1" width="10.0" style="5"/>
    <col min="7710" max="7710" customWidth="1" bestFit="1" width="10.0" style="5"/>
    <col min="7711" max="7711" customWidth="1" bestFit="1" width="10.0" style="5"/>
    <col min="7712" max="7712" customWidth="1" bestFit="1" width="10.0" style="5"/>
    <col min="7713" max="7713" customWidth="1" bestFit="1" width="10.0" style="5"/>
    <col min="7714" max="7714" customWidth="1" bestFit="1" width="10.0" style="5"/>
    <col min="7715" max="7715" customWidth="1" bestFit="1" width="10.0" style="5"/>
    <col min="7716" max="7716" customWidth="1" bestFit="1" width="10.0" style="5"/>
    <col min="7717" max="7717" customWidth="1" bestFit="1" width="10.0" style="5"/>
    <col min="7718" max="7718" customWidth="1" bestFit="1" width="10.0" style="5"/>
    <col min="7719" max="7719" customWidth="1" bestFit="1" width="10.0" style="5"/>
    <col min="7720" max="7720" customWidth="1" bestFit="1" width="10.0" style="5"/>
    <col min="7721" max="7721" customWidth="1" bestFit="1" width="10.0" style="5"/>
    <col min="7722" max="7722" customWidth="1" bestFit="1" width="10.0" style="5"/>
    <col min="7723" max="7723" customWidth="1" bestFit="1" width="10.0" style="5"/>
    <col min="7724" max="7724" customWidth="1" bestFit="1" width="10.0" style="5"/>
    <col min="7725" max="7725" customWidth="1" bestFit="1" width="10.0" style="5"/>
    <col min="7726" max="7726" customWidth="1" bestFit="1" width="10.0" style="5"/>
    <col min="7727" max="7727" customWidth="1" bestFit="1" width="10.0" style="5"/>
    <col min="7728" max="7728" customWidth="1" bestFit="1" width="10.0" style="5"/>
    <col min="7729" max="7729" customWidth="1" bestFit="1" width="10.0" style="5"/>
    <col min="7730" max="7730" customWidth="1" bestFit="1" width="10.0" style="5"/>
    <col min="7731" max="7731" customWidth="1" bestFit="1" width="10.0" style="5"/>
    <col min="7732" max="7732" customWidth="1" bestFit="1" width="10.0" style="5"/>
    <col min="7733" max="7733" customWidth="1" bestFit="1" width="10.0" style="5"/>
    <col min="7734" max="7734" customWidth="1" bestFit="1" width="10.0" style="5"/>
    <col min="7735" max="7735" customWidth="1" bestFit="1" width="10.0" style="5"/>
    <col min="7736" max="7736" customWidth="1" bestFit="1" width="10.0" style="5"/>
    <col min="7737" max="7737" customWidth="1" bestFit="1" width="10.0" style="5"/>
    <col min="7738" max="7738" customWidth="1" bestFit="1" width="10.0" style="5"/>
    <col min="7739" max="7739" customWidth="1" bestFit="1" width="10.0" style="5"/>
    <col min="7740" max="7740" customWidth="1" bestFit="1" width="10.0" style="5"/>
    <col min="7741" max="7741" customWidth="1" bestFit="1" width="10.0" style="5"/>
    <col min="7742" max="7742" customWidth="1" bestFit="1" width="10.0" style="5"/>
    <col min="7743" max="7743" customWidth="1" bestFit="1" width="10.0" style="5"/>
    <col min="7744" max="7744" customWidth="1" bestFit="1" width="10.0" style="5"/>
    <col min="7745" max="7745" customWidth="1" bestFit="1" width="10.0" style="5"/>
    <col min="7746" max="7746" customWidth="1" bestFit="1" width="10.0" style="5"/>
    <col min="7747" max="7747" customWidth="1" bestFit="1" width="10.0" style="5"/>
    <col min="7748" max="7748" customWidth="1" bestFit="1" width="10.0" style="5"/>
    <col min="7749" max="7749" customWidth="1" bestFit="1" width="10.0" style="5"/>
    <col min="7750" max="7750" customWidth="1" bestFit="1" width="10.0" style="5"/>
    <col min="7751" max="7751" customWidth="1" bestFit="1" width="10.0" style="5"/>
    <col min="7752" max="7752" customWidth="1" bestFit="1" width="10.0" style="5"/>
    <col min="7753" max="7753" customWidth="1" bestFit="1" width="10.0" style="5"/>
    <col min="7754" max="7754" customWidth="1" bestFit="1" width="10.0" style="5"/>
    <col min="7755" max="7755" customWidth="1" bestFit="1" width="10.0" style="5"/>
    <col min="7756" max="7756" customWidth="1" bestFit="1" width="10.0" style="5"/>
    <col min="7757" max="7757" customWidth="1" bestFit="1" width="10.0" style="5"/>
    <col min="7758" max="7758" customWidth="1" bestFit="1" width="10.0" style="5"/>
    <col min="7759" max="7759" customWidth="1" bestFit="1" width="10.0" style="5"/>
    <col min="7760" max="7760" customWidth="1" bestFit="1" width="10.0" style="5"/>
    <col min="7761" max="7761" customWidth="1" bestFit="1" width="10.0" style="5"/>
    <col min="7762" max="7762" customWidth="1" bestFit="1" width="10.0" style="5"/>
    <col min="7763" max="7763" customWidth="1" bestFit="1" width="10.0" style="5"/>
    <col min="7764" max="7764" customWidth="1" bestFit="1" width="10.0" style="5"/>
    <col min="7765" max="7765" customWidth="1" bestFit="1" width="10.0" style="5"/>
    <col min="7766" max="7766" customWidth="1" bestFit="1" width="10.0" style="5"/>
    <col min="7767" max="7767" customWidth="1" bestFit="1" width="10.0" style="5"/>
    <col min="7768" max="7768" customWidth="1" bestFit="1" width="10.0" style="5"/>
    <col min="7769" max="7769" customWidth="1" bestFit="1" width="10.0" style="5"/>
    <col min="7770" max="7770" customWidth="1" bestFit="1" width="10.0" style="5"/>
    <col min="7771" max="7771" customWidth="1" bestFit="1" width="10.0" style="5"/>
    <col min="7772" max="7772" customWidth="1" bestFit="1" width="10.0" style="5"/>
    <col min="7773" max="7773" customWidth="1" bestFit="1" width="10.0" style="5"/>
    <col min="7774" max="7774" customWidth="1" bestFit="1" width="10.0" style="5"/>
    <col min="7775" max="7775" customWidth="1" bestFit="1" width="10.0" style="5"/>
    <col min="7776" max="7776" customWidth="1" bestFit="1" width="10.0" style="5"/>
    <col min="7777" max="7777" customWidth="1" bestFit="1" width="10.0" style="5"/>
    <col min="7778" max="7778" customWidth="1" bestFit="1" width="10.0" style="5"/>
    <col min="7779" max="7779" customWidth="1" bestFit="1" width="10.0" style="5"/>
    <col min="7780" max="7780" customWidth="1" bestFit="1" width="10.0" style="5"/>
    <col min="7781" max="7781" customWidth="1" bestFit="1" width="10.0" style="5"/>
    <col min="7782" max="7782" customWidth="1" bestFit="1" width="10.0" style="5"/>
    <col min="7783" max="7783" customWidth="1" bestFit="1" width="10.0" style="5"/>
    <col min="7784" max="7784" customWidth="1" bestFit="1" width="10.0" style="5"/>
    <col min="7785" max="7785" customWidth="1" bestFit="1" width="10.0" style="5"/>
    <col min="7786" max="7786" customWidth="1" bestFit="1" width="10.0" style="5"/>
    <col min="7787" max="7787" customWidth="1" bestFit="1" width="10.0" style="5"/>
    <col min="7788" max="7788" customWidth="1" bestFit="1" width="10.0" style="5"/>
    <col min="7789" max="7789" customWidth="1" bestFit="1" width="10.0" style="5"/>
    <col min="7790" max="7790" customWidth="1" bestFit="1" width="10.0" style="5"/>
    <col min="7791" max="7791" customWidth="1" bestFit="1" width="10.0" style="5"/>
    <col min="7792" max="7792" customWidth="1" bestFit="1" width="10.0" style="5"/>
    <col min="7793" max="7793" customWidth="1" bestFit="1" width="10.0" style="5"/>
    <col min="7794" max="7794" customWidth="1" bestFit="1" width="10.0" style="5"/>
    <col min="7795" max="7795" customWidth="1" bestFit="1" width="10.0" style="5"/>
    <col min="7796" max="7796" customWidth="1" bestFit="1" width="10.0" style="5"/>
    <col min="7797" max="7797" customWidth="1" bestFit="1" width="10.0" style="5"/>
    <col min="7798" max="7798" customWidth="1" bestFit="1" width="10.0" style="5"/>
    <col min="7799" max="7799" customWidth="1" bestFit="1" width="10.0" style="5"/>
    <col min="7800" max="7800" customWidth="1" bestFit="1" width="10.0" style="5"/>
    <col min="7801" max="7801" customWidth="1" bestFit="1" width="10.0" style="5"/>
    <col min="7802" max="7802" customWidth="1" bestFit="1" width="10.0" style="5"/>
    <col min="7803" max="7803" customWidth="1" bestFit="1" width="10.0" style="5"/>
    <col min="7804" max="7804" customWidth="1" bestFit="1" width="10.0" style="5"/>
    <col min="7805" max="7805" customWidth="1" bestFit="1" width="10.0" style="5"/>
    <col min="7806" max="7806" customWidth="1" bestFit="1" width="10.0" style="5"/>
    <col min="7807" max="7807" customWidth="1" bestFit="1" width="10.0" style="5"/>
    <col min="7808" max="7808" customWidth="1" bestFit="1" width="10.0" style="5"/>
    <col min="7809" max="7809" customWidth="1" bestFit="1" width="10.0" style="5"/>
    <col min="7810" max="7810" customWidth="1" bestFit="1" width="10.0" style="5"/>
    <col min="7811" max="7811" customWidth="1" bestFit="1" width="10.0" style="5"/>
    <col min="7812" max="7812" customWidth="1" bestFit="1" width="10.0" style="5"/>
    <col min="7813" max="7813" customWidth="1" bestFit="1" width="10.0" style="5"/>
    <col min="7814" max="7814" customWidth="1" bestFit="1" width="10.0" style="5"/>
    <col min="7815" max="7815" customWidth="1" bestFit="1" width="10.0" style="5"/>
    <col min="7816" max="7816" customWidth="1" bestFit="1" width="10.0" style="5"/>
    <col min="7817" max="7817" customWidth="1" bestFit="1" width="10.0" style="5"/>
    <col min="7818" max="7818" customWidth="1" bestFit="1" width="10.0" style="5"/>
    <col min="7819" max="7819" customWidth="1" bestFit="1" width="10.0" style="5"/>
    <col min="7820" max="7820" customWidth="1" bestFit="1" width="10.0" style="5"/>
    <col min="7821" max="7821" customWidth="1" bestFit="1" width="10.0" style="5"/>
    <col min="7822" max="7822" customWidth="1" bestFit="1" width="10.0" style="5"/>
    <col min="7823" max="7823" customWidth="1" bestFit="1" width="10.0" style="5"/>
    <col min="7824" max="7824" customWidth="1" bestFit="1" width="10.0" style="5"/>
    <col min="7825" max="7825" customWidth="1" bestFit="1" width="10.0" style="5"/>
    <col min="7826" max="7826" customWidth="1" bestFit="1" width="10.0" style="5"/>
    <col min="7827" max="7827" customWidth="1" bestFit="1" width="10.0" style="5"/>
    <col min="7828" max="7828" customWidth="1" bestFit="1" width="10.0" style="5"/>
    <col min="7829" max="7829" customWidth="1" bestFit="1" width="10.0" style="5"/>
    <col min="7830" max="7830" customWidth="1" bestFit="1" width="10.0" style="5"/>
    <col min="7831" max="7831" customWidth="1" bestFit="1" width="10.0" style="5"/>
    <col min="7832" max="7832" customWidth="1" bestFit="1" width="10.0" style="5"/>
    <col min="7833" max="7833" customWidth="1" bestFit="1" width="10.0" style="5"/>
    <col min="7834" max="7834" customWidth="1" bestFit="1" width="10.0" style="5"/>
    <col min="7835" max="7835" customWidth="1" bestFit="1" width="10.0" style="5"/>
    <col min="7836" max="7836" customWidth="1" bestFit="1" width="10.0" style="5"/>
    <col min="7837" max="7837" customWidth="1" bestFit="1" width="10.0" style="5"/>
    <col min="7838" max="7838" customWidth="1" bestFit="1" width="10.0" style="5"/>
    <col min="7839" max="7839" customWidth="1" bestFit="1" width="10.0" style="5"/>
    <col min="7840" max="7840" customWidth="1" bestFit="1" width="10.0" style="5"/>
    <col min="7841" max="7841" customWidth="1" bestFit="1" width="10.0" style="5"/>
    <col min="7842" max="7842" customWidth="1" bestFit="1" width="10.0" style="5"/>
    <col min="7843" max="7843" customWidth="1" bestFit="1" width="10.0" style="5"/>
    <col min="7844" max="7844" customWidth="1" bestFit="1" width="10.0" style="5"/>
    <col min="7845" max="7845" customWidth="1" bestFit="1" width="10.0" style="5"/>
    <col min="7846" max="7846" customWidth="1" bestFit="1" width="10.0" style="5"/>
    <col min="7847" max="7847" customWidth="1" bestFit="1" width="10.0" style="5"/>
    <col min="7848" max="7848" customWidth="1" bestFit="1" width="10.0" style="5"/>
    <col min="7849" max="7849" customWidth="1" bestFit="1" width="10.0" style="5"/>
    <col min="7850" max="7850" customWidth="1" bestFit="1" width="10.0" style="5"/>
    <col min="7851" max="7851" customWidth="1" bestFit="1" width="10.0" style="5"/>
    <col min="7852" max="7852" customWidth="1" bestFit="1" width="10.0" style="5"/>
    <col min="7853" max="7853" customWidth="1" bestFit="1" width="10.0" style="5"/>
    <col min="7854" max="7854" customWidth="1" bestFit="1" width="10.0" style="5"/>
    <col min="7855" max="7855" customWidth="1" bestFit="1" width="10.0" style="5"/>
    <col min="7856" max="7856" customWidth="1" bestFit="1" width="10.0" style="5"/>
    <col min="7857" max="7857" customWidth="1" bestFit="1" width="10.0" style="5"/>
    <col min="7858" max="7858" customWidth="1" bestFit="1" width="10.0" style="5"/>
    <col min="7859" max="7859" customWidth="1" bestFit="1" width="10.0" style="5"/>
    <col min="7860" max="7860" customWidth="1" bestFit="1" width="10.0" style="5"/>
    <col min="7861" max="7861" customWidth="1" bestFit="1" width="10.0" style="5"/>
    <col min="7862" max="7862" customWidth="1" bestFit="1" width="10.0" style="5"/>
    <col min="7863" max="7863" customWidth="1" bestFit="1" width="10.0" style="5"/>
    <col min="7864" max="7864" customWidth="1" bestFit="1" width="10.0" style="5"/>
    <col min="7865" max="7865" customWidth="1" bestFit="1" width="10.0" style="5"/>
    <col min="7866" max="7866" customWidth="1" bestFit="1" width="10.0" style="5"/>
    <col min="7867" max="7867" customWidth="1" bestFit="1" width="10.0" style="5"/>
    <col min="7868" max="7868" customWidth="1" bestFit="1" width="10.0" style="5"/>
    <col min="7869" max="7869" customWidth="1" bestFit="1" width="10.0" style="5"/>
    <col min="7870" max="7870" customWidth="1" bestFit="1" width="10.0" style="5"/>
    <col min="7871" max="7871" customWidth="1" bestFit="1" width="10.0" style="5"/>
    <col min="7872" max="7872" customWidth="1" bestFit="1" width="10.0" style="5"/>
    <col min="7873" max="7873" customWidth="1" bestFit="1" width="10.0" style="5"/>
    <col min="7874" max="7874" customWidth="1" bestFit="1" width="10.0" style="5"/>
    <col min="7875" max="7875" customWidth="1" bestFit="1" width="10.0" style="5"/>
    <col min="7876" max="7876" customWidth="1" bestFit="1" width="10.0" style="5"/>
    <col min="7877" max="7877" customWidth="1" bestFit="1" width="10.0" style="5"/>
    <col min="7878" max="7878" customWidth="1" bestFit="1" width="10.0" style="5"/>
    <col min="7879" max="7879" customWidth="1" bestFit="1" width="10.0" style="5"/>
    <col min="7880" max="7880" customWidth="1" bestFit="1" width="10.0" style="5"/>
    <col min="7881" max="7881" customWidth="1" bestFit="1" width="10.0" style="5"/>
    <col min="7882" max="7882" customWidth="1" bestFit="1" width="10.0" style="5"/>
    <col min="7883" max="7883" customWidth="1" bestFit="1" width="10.0" style="5"/>
    <col min="7884" max="7884" customWidth="1" bestFit="1" width="10.0" style="5"/>
    <col min="7885" max="7885" customWidth="1" bestFit="1" width="10.0" style="5"/>
    <col min="7886" max="7886" customWidth="1" bestFit="1" width="10.0" style="5"/>
    <col min="7887" max="7887" customWidth="1" bestFit="1" width="10.0" style="5"/>
    <col min="7888" max="7888" customWidth="1" bestFit="1" width="10.0" style="5"/>
    <col min="7889" max="7889" customWidth="1" bestFit="1" width="10.0" style="5"/>
    <col min="7890" max="7890" customWidth="1" bestFit="1" width="10.0" style="5"/>
    <col min="7891" max="7891" customWidth="1" bestFit="1" width="10.0" style="5"/>
    <col min="7892" max="7892" customWidth="1" bestFit="1" width="10.0" style="5"/>
    <col min="7893" max="7893" customWidth="1" bestFit="1" width="10.0" style="5"/>
    <col min="7894" max="7894" customWidth="1" bestFit="1" width="10.0" style="5"/>
    <col min="7895" max="7895" customWidth="1" bestFit="1" width="10.0" style="5"/>
    <col min="7896" max="7896" customWidth="1" bestFit="1" width="10.0" style="5"/>
    <col min="7897" max="7897" customWidth="1" bestFit="1" width="10.0" style="5"/>
    <col min="7898" max="7898" customWidth="1" bestFit="1" width="10.0" style="5"/>
    <col min="7899" max="7899" customWidth="1" bestFit="1" width="10.0" style="5"/>
    <col min="7900" max="7900" customWidth="1" bestFit="1" width="10.0" style="5"/>
    <col min="7901" max="7901" customWidth="1" bestFit="1" width="10.0" style="5"/>
    <col min="7902" max="7902" customWidth="1" bestFit="1" width="10.0" style="5"/>
    <col min="7903" max="7903" customWidth="1" bestFit="1" width="10.0" style="5"/>
    <col min="7904" max="7904" customWidth="1" bestFit="1" width="10.0" style="5"/>
    <col min="7905" max="7905" customWidth="1" bestFit="1" width="10.0" style="5"/>
    <col min="7906" max="7906" customWidth="1" bestFit="1" width="10.0" style="5"/>
    <col min="7907" max="7907" customWidth="1" bestFit="1" width="10.0" style="5"/>
    <col min="7908" max="7908" customWidth="1" bestFit="1" width="10.0" style="5"/>
    <col min="7909" max="7909" customWidth="1" bestFit="1" width="10.0" style="5"/>
    <col min="7910" max="7910" customWidth="1" bestFit="1" width="10.0" style="5"/>
    <col min="7911" max="7911" customWidth="1" bestFit="1" width="10.0" style="5"/>
    <col min="7912" max="7912" customWidth="1" bestFit="1" width="10.0" style="5"/>
    <col min="7913" max="7913" customWidth="1" bestFit="1" width="10.0" style="5"/>
    <col min="7914" max="7914" customWidth="1" bestFit="1" width="10.0" style="5"/>
    <col min="7915" max="7915" customWidth="1" bestFit="1" width="10.0" style="5"/>
    <col min="7916" max="7916" customWidth="1" bestFit="1" width="10.0" style="5"/>
    <col min="7917" max="7917" customWidth="1" bestFit="1" width="10.0" style="5"/>
    <col min="7918" max="7918" customWidth="1" bestFit="1" width="10.0" style="5"/>
    <col min="7919" max="7919" customWidth="1" bestFit="1" width="10.0" style="5"/>
    <col min="7920" max="7920" customWidth="1" bestFit="1" width="10.0" style="5"/>
    <col min="7921" max="7921" customWidth="1" bestFit="1" width="10.0" style="5"/>
    <col min="7922" max="7922" customWidth="1" bestFit="1" width="10.0" style="5"/>
    <col min="7923" max="7923" customWidth="1" bestFit="1" width="10.0" style="5"/>
    <col min="7924" max="7924" customWidth="1" bestFit="1" width="10.0" style="5"/>
    <col min="7925" max="7925" customWidth="1" bestFit="1" width="10.0" style="5"/>
    <col min="7926" max="7926" customWidth="1" bestFit="1" width="10.0" style="5"/>
    <col min="7927" max="7927" customWidth="1" bestFit="1" width="10.0" style="5"/>
    <col min="7928" max="7928" customWidth="1" bestFit="1" width="10.0" style="5"/>
    <col min="7929" max="7929" customWidth="1" bestFit="1" width="10.0" style="5"/>
    <col min="7930" max="7930" customWidth="1" bestFit="1" width="10.0" style="5"/>
    <col min="7931" max="7931" customWidth="1" bestFit="1" width="10.0" style="5"/>
    <col min="7932" max="7932" customWidth="1" bestFit="1" width="10.0" style="5"/>
    <col min="7933" max="7933" customWidth="1" bestFit="1" width="10.0" style="5"/>
    <col min="7934" max="7934" customWidth="1" bestFit="1" width="10.0" style="5"/>
    <col min="7935" max="7935" customWidth="1" bestFit="1" width="10.0" style="5"/>
    <col min="7936" max="7936" customWidth="1" bestFit="1" width="10.0" style="5"/>
    <col min="7937" max="7937" customWidth="1" bestFit="1" width="10.0" style="5"/>
    <col min="7938" max="7938" customWidth="1" bestFit="1" width="10.0" style="5"/>
    <col min="7939" max="7939" customWidth="1" bestFit="1" width="10.0" style="5"/>
    <col min="7940" max="7940" customWidth="1" bestFit="1" width="10.0" style="5"/>
    <col min="7941" max="7941" customWidth="1" bestFit="1" width="10.0" style="5"/>
    <col min="7942" max="7942" customWidth="1" bestFit="1" width="10.0" style="5"/>
    <col min="7943" max="7943" customWidth="1" bestFit="1" width="10.0" style="5"/>
    <col min="7944" max="7944" customWidth="1" bestFit="1" width="10.0" style="5"/>
    <col min="7945" max="7945" customWidth="1" bestFit="1" width="10.0" style="5"/>
    <col min="7946" max="7946" customWidth="1" bestFit="1" width="10.0" style="5"/>
    <col min="7947" max="7947" customWidth="1" bestFit="1" width="10.0" style="5"/>
    <col min="7948" max="7948" customWidth="1" bestFit="1" width="10.0" style="5"/>
    <col min="7949" max="7949" customWidth="1" bestFit="1" width="10.0" style="5"/>
    <col min="7950" max="7950" customWidth="1" bestFit="1" width="10.0" style="5"/>
    <col min="7951" max="7951" customWidth="1" bestFit="1" width="10.0" style="5"/>
    <col min="7952" max="7952" customWidth="1" bestFit="1" width="10.0" style="5"/>
    <col min="7953" max="7953" customWidth="1" bestFit="1" width="10.0" style="5"/>
    <col min="7954" max="7954" customWidth="1" bestFit="1" width="10.0" style="5"/>
    <col min="7955" max="7955" customWidth="1" bestFit="1" width="10.0" style="5"/>
    <col min="7956" max="7956" customWidth="1" bestFit="1" width="10.0" style="5"/>
    <col min="7957" max="7957" customWidth="1" bestFit="1" width="10.0" style="5"/>
    <col min="7958" max="7958" customWidth="1" bestFit="1" width="10.0" style="5"/>
    <col min="7959" max="7959" customWidth="1" bestFit="1" width="10.0" style="5"/>
    <col min="7960" max="7960" customWidth="1" bestFit="1" width="10.0" style="5"/>
    <col min="7961" max="7961" customWidth="1" bestFit="1" width="10.0" style="5"/>
    <col min="7962" max="7962" customWidth="1" bestFit="1" width="10.0" style="5"/>
    <col min="7963" max="7963" customWidth="1" bestFit="1" width="10.0" style="5"/>
    <col min="7964" max="7964" customWidth="1" bestFit="1" width="10.0" style="5"/>
    <col min="7965" max="7965" customWidth="1" bestFit="1" width="10.0" style="5"/>
    <col min="7966" max="7966" customWidth="1" bestFit="1" width="10.0" style="5"/>
    <col min="7967" max="7967" customWidth="1" bestFit="1" width="10.0" style="5"/>
    <col min="7968" max="7968" customWidth="1" bestFit="1" width="10.0" style="5"/>
    <col min="7969" max="7969" customWidth="1" bestFit="1" width="10.0" style="5"/>
    <col min="7970" max="7970" customWidth="1" bestFit="1" width="10.0" style="5"/>
    <col min="7971" max="7971" customWidth="1" bestFit="1" width="10.0" style="5"/>
    <col min="7972" max="7972" customWidth="1" bestFit="1" width="10.0" style="5"/>
    <col min="7973" max="7973" customWidth="1" bestFit="1" width="10.0" style="5"/>
    <col min="7974" max="7974" customWidth="1" bestFit="1" width="10.0" style="5"/>
    <col min="7975" max="7975" customWidth="1" bestFit="1" width="10.0" style="5"/>
    <col min="7976" max="7976" customWidth="1" bestFit="1" width="10.0" style="5"/>
    <col min="7977" max="7977" customWidth="1" bestFit="1" width="10.0" style="5"/>
    <col min="7978" max="7978" customWidth="1" bestFit="1" width="10.0" style="5"/>
    <col min="7979" max="7979" customWidth="1" bestFit="1" width="10.0" style="5"/>
    <col min="7980" max="7980" customWidth="1" bestFit="1" width="10.0" style="5"/>
    <col min="7981" max="7981" customWidth="1" bestFit="1" width="10.0" style="5"/>
    <col min="7982" max="7982" customWidth="1" bestFit="1" width="10.0" style="5"/>
    <col min="7983" max="7983" customWidth="1" bestFit="1" width="10.0" style="5"/>
    <col min="7984" max="7984" customWidth="1" bestFit="1" width="10.0" style="5"/>
    <col min="7985" max="7985" customWidth="1" bestFit="1" width="10.0" style="5"/>
    <col min="7986" max="7986" customWidth="1" bestFit="1" width="10.0" style="5"/>
    <col min="7987" max="7987" customWidth="1" bestFit="1" width="10.0" style="5"/>
    <col min="7988" max="7988" customWidth="1" bestFit="1" width="10.0" style="5"/>
    <col min="7989" max="7989" customWidth="1" bestFit="1" width="10.0" style="5"/>
    <col min="7990" max="7990" customWidth="1" bestFit="1" width="10.0" style="5"/>
    <col min="7991" max="7991" customWidth="1" bestFit="1" width="10.0" style="5"/>
    <col min="7992" max="7992" customWidth="1" bestFit="1" width="10.0" style="5"/>
    <col min="7993" max="7993" customWidth="1" bestFit="1" width="10.0" style="5"/>
    <col min="7994" max="7994" customWidth="1" bestFit="1" width="10.0" style="5"/>
    <col min="7995" max="7995" customWidth="1" bestFit="1" width="10.0" style="5"/>
    <col min="7996" max="7996" customWidth="1" bestFit="1" width="10.0" style="5"/>
    <col min="7997" max="7997" customWidth="1" bestFit="1" width="10.0" style="5"/>
    <col min="7998" max="7998" customWidth="1" bestFit="1" width="10.0" style="5"/>
    <col min="7999" max="7999" customWidth="1" bestFit="1" width="10.0" style="5"/>
    <col min="8000" max="8000" customWidth="1" bestFit="1" width="10.0" style="5"/>
    <col min="8001" max="8001" customWidth="1" bestFit="1" width="10.0" style="5"/>
    <col min="8002" max="8002" customWidth="1" bestFit="1" width="10.0" style="5"/>
    <col min="8003" max="8003" customWidth="1" bestFit="1" width="10.0" style="5"/>
    <col min="8004" max="8004" customWidth="1" bestFit="1" width="10.0" style="5"/>
    <col min="8005" max="8005" customWidth="1" bestFit="1" width="10.0" style="5"/>
    <col min="8006" max="8006" customWidth="1" bestFit="1" width="10.0" style="5"/>
    <col min="8007" max="8007" customWidth="1" bestFit="1" width="10.0" style="5"/>
    <col min="8008" max="8008" customWidth="1" bestFit="1" width="10.0" style="5"/>
    <col min="8009" max="8009" customWidth="1" bestFit="1" width="10.0" style="5"/>
    <col min="8010" max="8010" customWidth="1" bestFit="1" width="10.0" style="5"/>
    <col min="8011" max="8011" customWidth="1" bestFit="1" width="10.0" style="5"/>
    <col min="8012" max="8012" customWidth="1" bestFit="1" width="10.0" style="5"/>
    <col min="8013" max="8013" customWidth="1" bestFit="1" width="10.0" style="5"/>
    <col min="8014" max="8014" customWidth="1" bestFit="1" width="10.0" style="5"/>
    <col min="8015" max="8015" customWidth="1" bestFit="1" width="10.0" style="5"/>
    <col min="8016" max="8016" customWidth="1" bestFit="1" width="10.0" style="5"/>
    <col min="8017" max="8017" customWidth="1" bestFit="1" width="10.0" style="5"/>
    <col min="8018" max="8018" customWidth="1" bestFit="1" width="10.0" style="5"/>
    <col min="8019" max="8019" customWidth="1" bestFit="1" width="10.0" style="5"/>
    <col min="8020" max="8020" customWidth="1" bestFit="1" width="10.0" style="5"/>
    <col min="8021" max="8021" customWidth="1" bestFit="1" width="10.0" style="5"/>
    <col min="8022" max="8022" customWidth="1" bestFit="1" width="10.0" style="5"/>
    <col min="8023" max="8023" customWidth="1" bestFit="1" width="10.0" style="5"/>
    <col min="8024" max="8024" customWidth="1" bestFit="1" width="10.0" style="5"/>
    <col min="8025" max="8025" customWidth="1" bestFit="1" width="10.0" style="5"/>
    <col min="8026" max="8026" customWidth="1" bestFit="1" width="10.0" style="5"/>
    <col min="8027" max="8027" customWidth="1" bestFit="1" width="10.0" style="5"/>
    <col min="8028" max="8028" customWidth="1" bestFit="1" width="10.0" style="5"/>
    <col min="8029" max="8029" customWidth="1" bestFit="1" width="10.0" style="5"/>
    <col min="8030" max="8030" customWidth="1" bestFit="1" width="10.0" style="5"/>
    <col min="8031" max="8031" customWidth="1" bestFit="1" width="10.0" style="5"/>
    <col min="8032" max="8032" customWidth="1" bestFit="1" width="10.0" style="5"/>
    <col min="8033" max="8033" customWidth="1" bestFit="1" width="10.0" style="5"/>
    <col min="8034" max="8034" customWidth="1" bestFit="1" width="10.0" style="5"/>
    <col min="8035" max="8035" customWidth="1" bestFit="1" width="10.0" style="5"/>
    <col min="8036" max="8036" customWidth="1" bestFit="1" width="10.0" style="5"/>
    <col min="8037" max="8037" customWidth="1" bestFit="1" width="10.0" style="5"/>
    <col min="8038" max="8038" customWidth="1" bestFit="1" width="10.0" style="5"/>
    <col min="8039" max="8039" customWidth="1" bestFit="1" width="10.0" style="5"/>
    <col min="8040" max="8040" customWidth="1" bestFit="1" width="10.0" style="5"/>
    <col min="8041" max="8041" customWidth="1" bestFit="1" width="10.0" style="5"/>
    <col min="8042" max="8042" customWidth="1" bestFit="1" width="10.0" style="5"/>
    <col min="8043" max="8043" customWidth="1" bestFit="1" width="10.0" style="5"/>
    <col min="8044" max="8044" customWidth="1" bestFit="1" width="10.0" style="5"/>
    <col min="8045" max="8045" customWidth="1" bestFit="1" width="10.0" style="5"/>
    <col min="8046" max="8046" customWidth="1" bestFit="1" width="10.0" style="5"/>
    <col min="8047" max="8047" customWidth="1" bestFit="1" width="10.0" style="5"/>
    <col min="8048" max="8048" customWidth="1" bestFit="1" width="10.0" style="5"/>
    <col min="8049" max="8049" customWidth="1" bestFit="1" width="10.0" style="5"/>
    <col min="8050" max="8050" customWidth="1" bestFit="1" width="10.0" style="5"/>
    <col min="8051" max="8051" customWidth="1" bestFit="1" width="10.0" style="5"/>
    <col min="8052" max="8052" customWidth="1" bestFit="1" width="10.0" style="5"/>
    <col min="8053" max="8053" customWidth="1" bestFit="1" width="10.0" style="5"/>
    <col min="8054" max="8054" customWidth="1" bestFit="1" width="10.0" style="5"/>
    <col min="8055" max="8055" customWidth="1" bestFit="1" width="10.0" style="5"/>
    <col min="8056" max="8056" customWidth="1" bestFit="1" width="10.0" style="5"/>
    <col min="8057" max="8057" customWidth="1" bestFit="1" width="10.0" style="5"/>
    <col min="8058" max="8058" customWidth="1" bestFit="1" width="10.0" style="5"/>
    <col min="8059" max="8059" customWidth="1" bestFit="1" width="10.0" style="5"/>
    <col min="8060" max="8060" customWidth="1" bestFit="1" width="10.0" style="5"/>
    <col min="8061" max="8061" customWidth="1" bestFit="1" width="10.0" style="5"/>
    <col min="8062" max="8062" customWidth="1" bestFit="1" width="10.0" style="5"/>
    <col min="8063" max="8063" customWidth="1" bestFit="1" width="10.0" style="5"/>
    <col min="8064" max="8064" customWidth="1" bestFit="1" width="10.0" style="5"/>
    <col min="8065" max="8065" customWidth="1" bestFit="1" width="10.0" style="5"/>
    <col min="8066" max="8066" customWidth="1" bestFit="1" width="10.0" style="5"/>
    <col min="8067" max="8067" customWidth="1" bestFit="1" width="10.0" style="5"/>
    <col min="8068" max="8068" customWidth="1" bestFit="1" width="10.0" style="5"/>
    <col min="8069" max="8069" customWidth="1" bestFit="1" width="10.0" style="5"/>
    <col min="8070" max="8070" customWidth="1" bestFit="1" width="10.0" style="5"/>
    <col min="8071" max="8071" customWidth="1" bestFit="1" width="10.0" style="5"/>
    <col min="8072" max="8072" customWidth="1" bestFit="1" width="10.0" style="5"/>
    <col min="8073" max="8073" customWidth="1" bestFit="1" width="10.0" style="5"/>
    <col min="8074" max="8074" customWidth="1" bestFit="1" width="10.0" style="5"/>
    <col min="8075" max="8075" customWidth="1" bestFit="1" width="10.0" style="5"/>
    <col min="8076" max="8076" customWidth="1" bestFit="1" width="10.0" style="5"/>
    <col min="8077" max="8077" customWidth="1" bestFit="1" width="10.0" style="5"/>
    <col min="8078" max="8078" customWidth="1" bestFit="1" width="10.0" style="5"/>
    <col min="8079" max="8079" customWidth="1" bestFit="1" width="10.0" style="5"/>
    <col min="8080" max="8080" customWidth="1" bestFit="1" width="10.0" style="5"/>
    <col min="8081" max="8081" customWidth="1" bestFit="1" width="10.0" style="5"/>
    <col min="8082" max="8082" customWidth="1" bestFit="1" width="10.0" style="5"/>
    <col min="8083" max="8083" customWidth="1" bestFit="1" width="10.0" style="5"/>
    <col min="8084" max="8084" customWidth="1" bestFit="1" width="10.0" style="5"/>
    <col min="8085" max="8085" customWidth="1" bestFit="1" width="10.0" style="5"/>
    <col min="8086" max="8086" customWidth="1" bestFit="1" width="10.0" style="5"/>
    <col min="8087" max="8087" customWidth="1" bestFit="1" width="10.0" style="5"/>
    <col min="8088" max="8088" customWidth="1" bestFit="1" width="10.0" style="5"/>
    <col min="8089" max="8089" customWidth="1" bestFit="1" width="10.0" style="5"/>
    <col min="8090" max="8090" customWidth="1" bestFit="1" width="10.0" style="5"/>
    <col min="8091" max="8091" customWidth="1" bestFit="1" width="10.0" style="5"/>
    <col min="8092" max="8092" customWidth="1" bestFit="1" width="10.0" style="5"/>
    <col min="8093" max="8093" customWidth="1" bestFit="1" width="10.0" style="5"/>
    <col min="8094" max="8094" customWidth="1" bestFit="1" width="10.0" style="5"/>
    <col min="8095" max="8095" customWidth="1" bestFit="1" width="10.0" style="5"/>
    <col min="8096" max="8096" customWidth="1" bestFit="1" width="10.0" style="5"/>
    <col min="8097" max="8097" customWidth="1" bestFit="1" width="10.0" style="5"/>
    <col min="8098" max="8098" customWidth="1" bestFit="1" width="10.0" style="5"/>
    <col min="8099" max="8099" customWidth="1" bestFit="1" width="10.0" style="5"/>
    <col min="8100" max="8100" customWidth="1" bestFit="1" width="10.0" style="5"/>
    <col min="8101" max="8101" customWidth="1" bestFit="1" width="10.0" style="5"/>
    <col min="8102" max="8102" customWidth="1" bestFit="1" width="10.0" style="5"/>
    <col min="8103" max="8103" customWidth="1" bestFit="1" width="10.0" style="5"/>
    <col min="8104" max="8104" customWidth="1" bestFit="1" width="10.0" style="5"/>
    <col min="8105" max="8105" customWidth="1" bestFit="1" width="10.0" style="5"/>
    <col min="8106" max="8106" customWidth="1" bestFit="1" width="10.0" style="5"/>
    <col min="8107" max="8107" customWidth="1" bestFit="1" width="10.0" style="5"/>
    <col min="8108" max="8108" customWidth="1" bestFit="1" width="10.0" style="5"/>
    <col min="8109" max="8109" customWidth="1" bestFit="1" width="10.0" style="5"/>
    <col min="8110" max="8110" customWidth="1" bestFit="1" width="10.0" style="5"/>
    <col min="8111" max="8111" customWidth="1" bestFit="1" width="10.0" style="5"/>
    <col min="8112" max="8112" customWidth="1" bestFit="1" width="10.0" style="5"/>
    <col min="8113" max="8113" customWidth="1" bestFit="1" width="10.0" style="5"/>
    <col min="8114" max="8114" customWidth="1" bestFit="1" width="10.0" style="5"/>
    <col min="8115" max="8115" customWidth="1" bestFit="1" width="10.0" style="5"/>
    <col min="8116" max="8116" customWidth="1" bestFit="1" width="10.0" style="5"/>
    <col min="8117" max="8117" customWidth="1" bestFit="1" width="10.0" style="5"/>
    <col min="8118" max="8118" customWidth="1" bestFit="1" width="10.0" style="5"/>
    <col min="8119" max="8119" customWidth="1" bestFit="1" width="10.0" style="5"/>
    <col min="8120" max="8120" customWidth="1" bestFit="1" width="10.0" style="5"/>
    <col min="8121" max="8121" customWidth="1" bestFit="1" width="10.0" style="5"/>
    <col min="8122" max="8122" customWidth="1" bestFit="1" width="10.0" style="5"/>
    <col min="8123" max="8123" customWidth="1" bestFit="1" width="10.0" style="5"/>
    <col min="8124" max="8124" customWidth="1" bestFit="1" width="10.0" style="5"/>
    <col min="8125" max="8125" customWidth="1" bestFit="1" width="10.0" style="5"/>
    <col min="8126" max="8126" customWidth="1" bestFit="1" width="10.0" style="5"/>
    <col min="8127" max="8127" customWidth="1" bestFit="1" width="10.0" style="5"/>
    <col min="8128" max="8128" customWidth="1" bestFit="1" width="10.0" style="5"/>
    <col min="8129" max="8129" customWidth="1" bestFit="1" width="10.0" style="5"/>
    <col min="8130" max="8130" customWidth="1" bestFit="1" width="10.0" style="5"/>
    <col min="8131" max="8131" customWidth="1" bestFit="1" width="10.0" style="5"/>
    <col min="8132" max="8132" customWidth="1" bestFit="1" width="10.0" style="5"/>
    <col min="8133" max="8133" customWidth="1" bestFit="1" width="10.0" style="5"/>
    <col min="8134" max="8134" customWidth="1" bestFit="1" width="10.0" style="5"/>
    <col min="8135" max="8135" customWidth="1" bestFit="1" width="10.0" style="5"/>
    <col min="8136" max="8136" customWidth="1" bestFit="1" width="10.0" style="5"/>
    <col min="8137" max="8137" customWidth="1" bestFit="1" width="10.0" style="5"/>
    <col min="8138" max="8138" customWidth="1" bestFit="1" width="10.0" style="5"/>
    <col min="8139" max="8139" customWidth="1" bestFit="1" width="10.0" style="5"/>
    <col min="8140" max="8140" customWidth="1" bestFit="1" width="10.0" style="5"/>
    <col min="8141" max="8141" customWidth="1" bestFit="1" width="10.0" style="5"/>
    <col min="8142" max="8142" customWidth="1" bestFit="1" width="10.0" style="5"/>
    <col min="8143" max="8143" customWidth="1" bestFit="1" width="10.0" style="5"/>
    <col min="8144" max="8144" customWidth="1" bestFit="1" width="10.0" style="5"/>
    <col min="8145" max="8145" customWidth="1" bestFit="1" width="10.0" style="5"/>
    <col min="8146" max="8146" customWidth="1" bestFit="1" width="10.0" style="5"/>
    <col min="8147" max="8147" customWidth="1" bestFit="1" width="10.0" style="5"/>
    <col min="8148" max="8148" customWidth="1" bestFit="1" width="10.0" style="5"/>
    <col min="8149" max="8149" customWidth="1" bestFit="1" width="10.0" style="5"/>
    <col min="8150" max="8150" customWidth="1" bestFit="1" width="10.0" style="5"/>
    <col min="8151" max="8151" customWidth="1" bestFit="1" width="10.0" style="5"/>
    <col min="8152" max="8152" customWidth="1" bestFit="1" width="10.0" style="5"/>
    <col min="8153" max="8153" customWidth="1" bestFit="1" width="10.0" style="5"/>
    <col min="8154" max="8154" customWidth="1" bestFit="1" width="10.0" style="5"/>
    <col min="8155" max="8155" customWidth="1" bestFit="1" width="10.0" style="5"/>
    <col min="8156" max="8156" customWidth="1" bestFit="1" width="10.0" style="5"/>
    <col min="8157" max="8157" customWidth="1" bestFit="1" width="10.0" style="5"/>
    <col min="8158" max="8158" customWidth="1" bestFit="1" width="10.0" style="5"/>
    <col min="8159" max="8159" customWidth="1" bestFit="1" width="10.0" style="5"/>
    <col min="8160" max="8160" customWidth="1" bestFit="1" width="10.0" style="5"/>
    <col min="8161" max="8161" customWidth="1" bestFit="1" width="10.0" style="5"/>
    <col min="8162" max="8162" customWidth="1" bestFit="1" width="10.0" style="5"/>
    <col min="8163" max="8163" customWidth="1" bestFit="1" width="10.0" style="5"/>
    <col min="8164" max="8164" customWidth="1" bestFit="1" width="10.0" style="5"/>
    <col min="8165" max="8165" customWidth="1" bestFit="1" width="10.0" style="5"/>
    <col min="8166" max="8166" customWidth="1" bestFit="1" width="10.0" style="5"/>
    <col min="8167" max="8167" customWidth="1" bestFit="1" width="10.0" style="5"/>
    <col min="8168" max="8168" customWidth="1" bestFit="1" width="10.0" style="5"/>
    <col min="8169" max="8169" customWidth="1" bestFit="1" width="10.0" style="5"/>
    <col min="8170" max="8170" customWidth="1" bestFit="1" width="10.0" style="5"/>
    <col min="8171" max="8171" customWidth="1" bestFit="1" width="10.0" style="5"/>
    <col min="8172" max="8172" customWidth="1" bestFit="1" width="10.0" style="5"/>
    <col min="8173" max="8173" customWidth="1" bestFit="1" width="10.0" style="5"/>
    <col min="8174" max="8174" customWidth="1" bestFit="1" width="10.0" style="5"/>
    <col min="8175" max="8175" customWidth="1" bestFit="1" width="10.0" style="5"/>
    <col min="8176" max="8176" customWidth="1" bestFit="1" width="10.0" style="5"/>
    <col min="8177" max="8177" customWidth="1" bestFit="1" width="10.0" style="5"/>
    <col min="8178" max="8178" customWidth="1" bestFit="1" width="10.0" style="5"/>
    <col min="8179" max="8179" customWidth="1" bestFit="1" width="10.0" style="5"/>
    <col min="8180" max="8180" customWidth="1" bestFit="1" width="10.0" style="5"/>
    <col min="8181" max="8181" customWidth="1" bestFit="1" width="10.0" style="5"/>
    <col min="8182" max="8182" customWidth="1" bestFit="1" width="10.0" style="5"/>
    <col min="8183" max="8183" customWidth="1" bestFit="1" width="10.0" style="5"/>
    <col min="8184" max="8184" customWidth="1" bestFit="1" width="10.0" style="5"/>
    <col min="8185" max="8185" customWidth="1" bestFit="1" width="10.0" style="5"/>
    <col min="8186" max="8186" customWidth="1" bestFit="1" width="10.0" style="5"/>
    <col min="8187" max="8187" customWidth="1" bestFit="1" width="10.0" style="5"/>
    <col min="8188" max="8188" customWidth="1" bestFit="1" width="10.0" style="5"/>
    <col min="8189" max="8189" customWidth="1" bestFit="1" width="10.0" style="5"/>
    <col min="8190" max="8190" customWidth="1" bestFit="1" width="10.0" style="5"/>
    <col min="8191" max="8191" customWidth="1" bestFit="1" width="10.0" style="5"/>
    <col min="8192" max="8192" customWidth="1" bestFit="1" width="10.0" style="5"/>
    <col min="8193" max="8193" customWidth="1" bestFit="1" width="10.0" style="5"/>
    <col min="8194" max="8194" customWidth="1" bestFit="1" width="10.0" style="5"/>
    <col min="8195" max="8195" customWidth="1" bestFit="1" width="10.0" style="5"/>
    <col min="8196" max="8196" customWidth="1" bestFit="1" width="10.0" style="5"/>
    <col min="8197" max="8197" customWidth="1" bestFit="1" width="10.0" style="5"/>
    <col min="8198" max="8198" customWidth="1" bestFit="1" width="10.0" style="5"/>
    <col min="8199" max="8199" customWidth="1" bestFit="1" width="10.0" style="5"/>
    <col min="8200" max="8200" customWidth="1" bestFit="1" width="10.0" style="5"/>
    <col min="8201" max="8201" customWidth="1" bestFit="1" width="10.0" style="5"/>
    <col min="8202" max="8202" customWidth="1" bestFit="1" width="10.0" style="5"/>
    <col min="8203" max="8203" customWidth="1" bestFit="1" width="10.0" style="5"/>
    <col min="8204" max="8204" customWidth="1" bestFit="1" width="10.0" style="5"/>
    <col min="8205" max="8205" customWidth="1" bestFit="1" width="10.0" style="5"/>
    <col min="8206" max="8206" customWidth="1" bestFit="1" width="10.0" style="5"/>
    <col min="8207" max="8207" customWidth="1" bestFit="1" width="10.0" style="5"/>
    <col min="8208" max="8208" customWidth="1" bestFit="1" width="10.0" style="5"/>
    <col min="8209" max="8209" customWidth="1" bestFit="1" width="10.0" style="5"/>
    <col min="8210" max="8210" customWidth="1" bestFit="1" width="10.0" style="5"/>
    <col min="8211" max="8211" customWidth="1" bestFit="1" width="10.0" style="5"/>
    <col min="8212" max="8212" customWidth="1" bestFit="1" width="10.0" style="5"/>
    <col min="8213" max="8213" customWidth="1" bestFit="1" width="10.0" style="5"/>
    <col min="8214" max="8214" customWidth="1" bestFit="1" width="10.0" style="5"/>
    <col min="8215" max="8215" customWidth="1" bestFit="1" width="10.0" style="5"/>
    <col min="8216" max="8216" customWidth="1" bestFit="1" width="10.0" style="5"/>
    <col min="8217" max="8217" customWidth="1" bestFit="1" width="10.0" style="5"/>
    <col min="8218" max="8218" customWidth="1" bestFit="1" width="10.0" style="5"/>
    <col min="8219" max="8219" customWidth="1" bestFit="1" width="10.0" style="5"/>
    <col min="8220" max="8220" customWidth="1" bestFit="1" width="10.0" style="5"/>
    <col min="8221" max="8221" customWidth="1" bestFit="1" width="10.0" style="5"/>
    <col min="8222" max="8222" customWidth="1" bestFit="1" width="10.0" style="5"/>
    <col min="8223" max="8223" customWidth="1" bestFit="1" width="10.0" style="5"/>
    <col min="8224" max="8224" customWidth="1" bestFit="1" width="10.0" style="5"/>
    <col min="8225" max="8225" customWidth="1" bestFit="1" width="10.0" style="5"/>
    <col min="8226" max="8226" customWidth="1" bestFit="1" width="10.0" style="5"/>
    <col min="8227" max="8227" customWidth="1" bestFit="1" width="10.0" style="5"/>
    <col min="8228" max="8228" customWidth="1" bestFit="1" width="10.0" style="5"/>
    <col min="8229" max="8229" customWidth="1" bestFit="1" width="10.0" style="5"/>
    <col min="8230" max="8230" customWidth="1" bestFit="1" width="10.0" style="5"/>
    <col min="8231" max="8231" customWidth="1" bestFit="1" width="10.0" style="5"/>
    <col min="8232" max="8232" customWidth="1" bestFit="1" width="10.0" style="5"/>
    <col min="8233" max="8233" customWidth="1" bestFit="1" width="10.0" style="5"/>
    <col min="8234" max="8234" customWidth="1" bestFit="1" width="10.0" style="5"/>
    <col min="8235" max="8235" customWidth="1" bestFit="1" width="10.0" style="5"/>
    <col min="8236" max="8236" customWidth="1" bestFit="1" width="10.0" style="5"/>
    <col min="8237" max="8237" customWidth="1" bestFit="1" width="10.0" style="5"/>
    <col min="8238" max="8238" customWidth="1" bestFit="1" width="10.0" style="5"/>
    <col min="8239" max="8239" customWidth="1" bestFit="1" width="10.0" style="5"/>
    <col min="8240" max="8240" customWidth="1" bestFit="1" width="10.0" style="5"/>
    <col min="8241" max="8241" customWidth="1" bestFit="1" width="10.0" style="5"/>
    <col min="8242" max="8242" customWidth="1" bestFit="1" width="10.0" style="5"/>
    <col min="8243" max="8243" customWidth="1" bestFit="1" width="10.0" style="5"/>
    <col min="8244" max="8244" customWidth="1" bestFit="1" width="10.0" style="5"/>
    <col min="8245" max="8245" customWidth="1" bestFit="1" width="10.0" style="5"/>
    <col min="8246" max="8246" customWidth="1" bestFit="1" width="10.0" style="5"/>
    <col min="8247" max="8247" customWidth="1" bestFit="1" width="10.0" style="5"/>
    <col min="8248" max="8248" customWidth="1" bestFit="1" width="10.0" style="5"/>
    <col min="8249" max="8249" customWidth="1" bestFit="1" width="10.0" style="5"/>
    <col min="8250" max="8250" customWidth="1" bestFit="1" width="10.0" style="5"/>
    <col min="8251" max="8251" customWidth="1" bestFit="1" width="10.0" style="5"/>
    <col min="8252" max="8252" customWidth="1" bestFit="1" width="10.0" style="5"/>
    <col min="8253" max="8253" customWidth="1" bestFit="1" width="10.0" style="5"/>
    <col min="8254" max="8254" customWidth="1" bestFit="1" width="10.0" style="5"/>
    <col min="8255" max="8255" customWidth="1" bestFit="1" width="10.0" style="5"/>
    <col min="8256" max="8256" customWidth="1" bestFit="1" width="10.0" style="5"/>
    <col min="8257" max="8257" customWidth="1" bestFit="1" width="10.0" style="5"/>
    <col min="8258" max="8258" customWidth="1" bestFit="1" width="10.0" style="5"/>
    <col min="8259" max="8259" customWidth="1" bestFit="1" width="10.0" style="5"/>
    <col min="8260" max="8260" customWidth="1" bestFit="1" width="10.0" style="5"/>
    <col min="8261" max="8261" customWidth="1" bestFit="1" width="10.0" style="5"/>
    <col min="8262" max="8262" customWidth="1" bestFit="1" width="10.0" style="5"/>
    <col min="8263" max="8263" customWidth="1" bestFit="1" width="10.0" style="5"/>
    <col min="8264" max="8264" customWidth="1" bestFit="1" width="10.0" style="5"/>
    <col min="8265" max="8265" customWidth="1" bestFit="1" width="10.0" style="5"/>
    <col min="8266" max="8266" customWidth="1" bestFit="1" width="10.0" style="5"/>
    <col min="8267" max="8267" customWidth="1" bestFit="1" width="10.0" style="5"/>
    <col min="8268" max="8268" customWidth="1" bestFit="1" width="10.0" style="5"/>
    <col min="8269" max="8269" customWidth="1" bestFit="1" width="10.0" style="5"/>
    <col min="8270" max="8270" customWidth="1" bestFit="1" width="10.0" style="5"/>
    <col min="8271" max="8271" customWidth="1" bestFit="1" width="10.0" style="5"/>
    <col min="8272" max="8272" customWidth="1" bestFit="1" width="10.0" style="5"/>
    <col min="8273" max="8273" customWidth="1" bestFit="1" width="10.0" style="5"/>
    <col min="8274" max="8274" customWidth="1" bestFit="1" width="10.0" style="5"/>
    <col min="8275" max="8275" customWidth="1" bestFit="1" width="10.0" style="5"/>
    <col min="8276" max="8276" customWidth="1" bestFit="1" width="10.0" style="5"/>
    <col min="8277" max="8277" customWidth="1" bestFit="1" width="10.0" style="5"/>
    <col min="8278" max="8278" customWidth="1" bestFit="1" width="10.0" style="5"/>
    <col min="8279" max="8279" customWidth="1" bestFit="1" width="10.0" style="5"/>
    <col min="8280" max="8280" customWidth="1" bestFit="1" width="10.0" style="5"/>
    <col min="8281" max="8281" customWidth="1" bestFit="1" width="10.0" style="5"/>
    <col min="8282" max="8282" customWidth="1" bestFit="1" width="10.0" style="5"/>
    <col min="8283" max="8283" customWidth="1" bestFit="1" width="10.0" style="5"/>
    <col min="8284" max="8284" customWidth="1" bestFit="1" width="10.0" style="5"/>
    <col min="8285" max="8285" customWidth="1" bestFit="1" width="10.0" style="5"/>
    <col min="8286" max="8286" customWidth="1" bestFit="1" width="10.0" style="5"/>
    <col min="8287" max="8287" customWidth="1" bestFit="1" width="10.0" style="5"/>
    <col min="8288" max="8288" customWidth="1" bestFit="1" width="10.0" style="5"/>
    <col min="8289" max="8289" customWidth="1" bestFit="1" width="10.0" style="5"/>
    <col min="8290" max="8290" customWidth="1" bestFit="1" width="10.0" style="5"/>
    <col min="8291" max="8291" customWidth="1" bestFit="1" width="10.0" style="5"/>
    <col min="8292" max="8292" customWidth="1" bestFit="1" width="10.0" style="5"/>
    <col min="8293" max="8293" customWidth="1" bestFit="1" width="10.0" style="5"/>
    <col min="8294" max="8294" customWidth="1" bestFit="1" width="10.0" style="5"/>
    <col min="8295" max="8295" customWidth="1" bestFit="1" width="10.0" style="5"/>
    <col min="8296" max="8296" customWidth="1" bestFit="1" width="10.0" style="5"/>
    <col min="8297" max="8297" customWidth="1" bestFit="1" width="10.0" style="5"/>
    <col min="8298" max="8298" customWidth="1" bestFit="1" width="10.0" style="5"/>
    <col min="8299" max="8299" customWidth="1" bestFit="1" width="10.0" style="5"/>
    <col min="8300" max="8300" customWidth="1" bestFit="1" width="10.0" style="5"/>
    <col min="8301" max="8301" customWidth="1" bestFit="1" width="10.0" style="5"/>
    <col min="8302" max="8302" customWidth="1" bestFit="1" width="10.0" style="5"/>
    <col min="8303" max="8303" customWidth="1" bestFit="1" width="10.0" style="5"/>
    <col min="8304" max="8304" customWidth="1" bestFit="1" width="10.0" style="5"/>
    <col min="8305" max="8305" customWidth="1" bestFit="1" width="10.0" style="5"/>
    <col min="8306" max="8306" customWidth="1" bestFit="1" width="10.0" style="5"/>
    <col min="8307" max="8307" customWidth="1" bestFit="1" width="10.0" style="5"/>
    <col min="8308" max="8308" customWidth="1" bestFit="1" width="10.0" style="5"/>
    <col min="8309" max="8309" customWidth="1" bestFit="1" width="10.0" style="5"/>
    <col min="8310" max="8310" customWidth="1" bestFit="1" width="10.0" style="5"/>
    <col min="8311" max="8311" customWidth="1" bestFit="1" width="10.0" style="5"/>
    <col min="8312" max="8312" customWidth="1" bestFit="1" width="10.0" style="5"/>
    <col min="8313" max="8313" customWidth="1" bestFit="1" width="10.0" style="5"/>
    <col min="8314" max="8314" customWidth="1" bestFit="1" width="10.0" style="5"/>
    <col min="8315" max="8315" customWidth="1" bestFit="1" width="10.0" style="5"/>
    <col min="8316" max="8316" customWidth="1" bestFit="1" width="10.0" style="5"/>
    <col min="8317" max="8317" customWidth="1" bestFit="1" width="10.0" style="5"/>
    <col min="8318" max="8318" customWidth="1" bestFit="1" width="10.0" style="5"/>
    <col min="8319" max="8319" customWidth="1" bestFit="1" width="10.0" style="5"/>
    <col min="8320" max="8320" customWidth="1" bestFit="1" width="10.0" style="5"/>
    <col min="8321" max="8321" customWidth="1" bestFit="1" width="10.0" style="5"/>
    <col min="8322" max="8322" customWidth="1" bestFit="1" width="10.0" style="5"/>
    <col min="8323" max="8323" customWidth="1" bestFit="1" width="10.0" style="5"/>
    <col min="8324" max="8324" customWidth="1" bestFit="1" width="10.0" style="5"/>
    <col min="8325" max="8325" customWidth="1" bestFit="1" width="10.0" style="5"/>
    <col min="8326" max="8326" customWidth="1" bestFit="1" width="10.0" style="5"/>
    <col min="8327" max="8327" customWidth="1" bestFit="1" width="10.0" style="5"/>
    <col min="8328" max="8328" customWidth="1" bestFit="1" width="10.0" style="5"/>
    <col min="8329" max="8329" customWidth="1" bestFit="1" width="10.0" style="5"/>
    <col min="8330" max="8330" customWidth="1" bestFit="1" width="10.0" style="5"/>
    <col min="8331" max="8331" customWidth="1" bestFit="1" width="10.0" style="5"/>
    <col min="8332" max="8332" customWidth="1" bestFit="1" width="10.0" style="5"/>
    <col min="8333" max="8333" customWidth="1" bestFit="1" width="10.0" style="5"/>
    <col min="8334" max="8334" customWidth="1" bestFit="1" width="10.0" style="5"/>
    <col min="8335" max="8335" customWidth="1" bestFit="1" width="10.0" style="5"/>
    <col min="8336" max="8336" customWidth="1" bestFit="1" width="10.0" style="5"/>
    <col min="8337" max="8337" customWidth="1" bestFit="1" width="10.0" style="5"/>
    <col min="8338" max="8338" customWidth="1" bestFit="1" width="10.0" style="5"/>
    <col min="8339" max="8339" customWidth="1" bestFit="1" width="10.0" style="5"/>
    <col min="8340" max="8340" customWidth="1" bestFit="1" width="10.0" style="5"/>
    <col min="8341" max="8341" customWidth="1" bestFit="1" width="10.0" style="5"/>
    <col min="8342" max="8342" customWidth="1" bestFit="1" width="10.0" style="5"/>
    <col min="8343" max="8343" customWidth="1" bestFit="1" width="10.0" style="5"/>
    <col min="8344" max="8344" customWidth="1" bestFit="1" width="10.0" style="5"/>
    <col min="8345" max="8345" customWidth="1" bestFit="1" width="10.0" style="5"/>
    <col min="8346" max="8346" customWidth="1" bestFit="1" width="10.0" style="5"/>
    <col min="8347" max="8347" customWidth="1" bestFit="1" width="10.0" style="5"/>
    <col min="8348" max="8348" customWidth="1" bestFit="1" width="10.0" style="5"/>
    <col min="8349" max="8349" customWidth="1" bestFit="1" width="10.0" style="5"/>
    <col min="8350" max="8350" customWidth="1" bestFit="1" width="10.0" style="5"/>
    <col min="8351" max="8351" customWidth="1" bestFit="1" width="10.0" style="5"/>
    <col min="8352" max="8352" customWidth="1" bestFit="1" width="10.0" style="5"/>
    <col min="8353" max="8353" customWidth="1" bestFit="1" width="10.0" style="5"/>
    <col min="8354" max="8354" customWidth="1" bestFit="1" width="10.0" style="5"/>
    <col min="8355" max="8355" customWidth="1" bestFit="1" width="10.0" style="5"/>
    <col min="8356" max="8356" customWidth="1" bestFit="1" width="10.0" style="5"/>
    <col min="8357" max="8357" customWidth="1" bestFit="1" width="10.0" style="5"/>
    <col min="8358" max="8358" customWidth="1" bestFit="1" width="10.0" style="5"/>
    <col min="8359" max="8359" customWidth="1" bestFit="1" width="10.0" style="5"/>
    <col min="8360" max="8360" customWidth="1" bestFit="1" width="10.0" style="5"/>
    <col min="8361" max="8361" customWidth="1" bestFit="1" width="10.0" style="5"/>
    <col min="8362" max="8362" customWidth="1" bestFit="1" width="10.0" style="5"/>
    <col min="8363" max="8363" customWidth="1" bestFit="1" width="10.0" style="5"/>
    <col min="8364" max="8364" customWidth="1" bestFit="1" width="10.0" style="5"/>
    <col min="8365" max="8365" customWidth="1" bestFit="1" width="10.0" style="5"/>
    <col min="8366" max="8366" customWidth="1" bestFit="1" width="10.0" style="5"/>
    <col min="8367" max="8367" customWidth="1" bestFit="1" width="10.0" style="5"/>
    <col min="8368" max="8368" customWidth="1" bestFit="1" width="10.0" style="5"/>
    <col min="8369" max="8369" customWidth="1" bestFit="1" width="10.0" style="5"/>
    <col min="8370" max="8370" customWidth="1" bestFit="1" width="10.0" style="5"/>
    <col min="8371" max="8371" customWidth="1" bestFit="1" width="10.0" style="5"/>
    <col min="8372" max="8372" customWidth="1" bestFit="1" width="10.0" style="5"/>
    <col min="8373" max="8373" customWidth="1" bestFit="1" width="10.0" style="5"/>
    <col min="8374" max="8374" customWidth="1" bestFit="1" width="10.0" style="5"/>
    <col min="8375" max="8375" customWidth="1" bestFit="1" width="10.0" style="5"/>
    <col min="8376" max="8376" customWidth="1" bestFit="1" width="10.0" style="5"/>
    <col min="8377" max="8377" customWidth="1" bestFit="1" width="10.0" style="5"/>
    <col min="8378" max="8378" customWidth="1" bestFit="1" width="10.0" style="5"/>
    <col min="8379" max="8379" customWidth="1" bestFit="1" width="10.0" style="5"/>
    <col min="8380" max="8380" customWidth="1" bestFit="1" width="10.0" style="5"/>
    <col min="8381" max="8381" customWidth="1" bestFit="1" width="10.0" style="5"/>
    <col min="8382" max="8382" customWidth="1" bestFit="1" width="10.0" style="5"/>
    <col min="8383" max="8383" customWidth="1" bestFit="1" width="10.0" style="5"/>
    <col min="8384" max="8384" customWidth="1" bestFit="1" width="10.0" style="5"/>
    <col min="8385" max="8385" customWidth="1" bestFit="1" width="10.0" style="5"/>
    <col min="8386" max="8386" customWidth="1" bestFit="1" width="10.0" style="5"/>
    <col min="8387" max="8387" customWidth="1" bestFit="1" width="10.0" style="5"/>
    <col min="8388" max="8388" customWidth="1" bestFit="1" width="10.0" style="5"/>
    <col min="8389" max="8389" customWidth="1" bestFit="1" width="10.0" style="5"/>
    <col min="8390" max="8390" customWidth="1" bestFit="1" width="10.0" style="5"/>
    <col min="8391" max="8391" customWidth="1" bestFit="1" width="10.0" style="5"/>
    <col min="8392" max="8392" customWidth="1" bestFit="1" width="10.0" style="5"/>
    <col min="8393" max="8393" customWidth="1" bestFit="1" width="10.0" style="5"/>
    <col min="8394" max="8394" customWidth="1" bestFit="1" width="10.0" style="5"/>
    <col min="8395" max="8395" customWidth="1" bestFit="1" width="10.0" style="5"/>
    <col min="8396" max="8396" customWidth="1" bestFit="1" width="10.0" style="5"/>
    <col min="8397" max="8397" customWidth="1" bestFit="1" width="10.0" style="5"/>
    <col min="8398" max="8398" customWidth="1" bestFit="1" width="10.0" style="5"/>
    <col min="8399" max="8399" customWidth="1" bestFit="1" width="10.0" style="5"/>
    <col min="8400" max="8400" customWidth="1" bestFit="1" width="10.0" style="5"/>
    <col min="8401" max="8401" customWidth="1" bestFit="1" width="10.0" style="5"/>
    <col min="8402" max="8402" customWidth="1" bestFit="1" width="10.0" style="5"/>
    <col min="8403" max="8403" customWidth="1" bestFit="1" width="10.0" style="5"/>
    <col min="8404" max="8404" customWidth="1" bestFit="1" width="10.0" style="5"/>
    <col min="8405" max="8405" customWidth="1" bestFit="1" width="10.0" style="5"/>
    <col min="8406" max="8406" customWidth="1" bestFit="1" width="10.0" style="5"/>
    <col min="8407" max="8407" customWidth="1" bestFit="1" width="10.0" style="5"/>
    <col min="8408" max="8408" customWidth="1" bestFit="1" width="10.0" style="5"/>
    <col min="8409" max="8409" customWidth="1" bestFit="1" width="10.0" style="5"/>
    <col min="8410" max="8410" customWidth="1" bestFit="1" width="10.0" style="5"/>
    <col min="8411" max="8411" customWidth="1" bestFit="1" width="10.0" style="5"/>
    <col min="8412" max="8412" customWidth="1" bestFit="1" width="10.0" style="5"/>
    <col min="8413" max="8413" customWidth="1" bestFit="1" width="10.0" style="5"/>
    <col min="8414" max="8414" customWidth="1" bestFit="1" width="10.0" style="5"/>
    <col min="8415" max="8415" customWidth="1" bestFit="1" width="10.0" style="5"/>
    <col min="8416" max="8416" customWidth="1" bestFit="1" width="10.0" style="5"/>
    <col min="8417" max="8417" customWidth="1" bestFit="1" width="10.0" style="5"/>
    <col min="8418" max="8418" customWidth="1" bestFit="1" width="10.0" style="5"/>
    <col min="8419" max="8419" customWidth="1" bestFit="1" width="10.0" style="5"/>
    <col min="8420" max="8420" customWidth="1" bestFit="1" width="10.0" style="5"/>
    <col min="8421" max="8421" customWidth="1" bestFit="1" width="10.0" style="5"/>
    <col min="8422" max="8422" customWidth="1" bestFit="1" width="10.0" style="5"/>
    <col min="8423" max="8423" customWidth="1" bestFit="1" width="10.0" style="5"/>
    <col min="8424" max="8424" customWidth="1" bestFit="1" width="10.0" style="5"/>
    <col min="8425" max="8425" customWidth="1" bestFit="1" width="10.0" style="5"/>
    <col min="8426" max="8426" customWidth="1" bestFit="1" width="10.0" style="5"/>
    <col min="8427" max="8427" customWidth="1" bestFit="1" width="10.0" style="5"/>
    <col min="8428" max="8428" customWidth="1" bestFit="1" width="10.0" style="5"/>
    <col min="8429" max="8429" customWidth="1" bestFit="1" width="10.0" style="5"/>
    <col min="8430" max="8430" customWidth="1" bestFit="1" width="10.0" style="5"/>
    <col min="8431" max="8431" customWidth="1" bestFit="1" width="10.0" style="5"/>
    <col min="8432" max="8432" customWidth="1" bestFit="1" width="10.0" style="5"/>
    <col min="8433" max="8433" customWidth="1" bestFit="1" width="10.0" style="5"/>
    <col min="8434" max="8434" customWidth="1" bestFit="1" width="10.0" style="5"/>
    <col min="8435" max="8435" customWidth="1" bestFit="1" width="10.0" style="5"/>
    <col min="8436" max="8436" customWidth="1" bestFit="1" width="10.0" style="5"/>
    <col min="8437" max="8437" customWidth="1" bestFit="1" width="10.0" style="5"/>
    <col min="8438" max="8438" customWidth="1" bestFit="1" width="10.0" style="5"/>
    <col min="8439" max="8439" customWidth="1" bestFit="1" width="10.0" style="5"/>
    <col min="8440" max="8440" customWidth="1" bestFit="1" width="10.0" style="5"/>
    <col min="8441" max="8441" customWidth="1" bestFit="1" width="10.0" style="5"/>
    <col min="8442" max="8442" customWidth="1" bestFit="1" width="10.0" style="5"/>
    <col min="8443" max="8443" customWidth="1" bestFit="1" width="10.0" style="5"/>
    <col min="8444" max="8444" customWidth="1" bestFit="1" width="10.0" style="5"/>
    <col min="8445" max="8445" customWidth="1" bestFit="1" width="10.0" style="5"/>
    <col min="8446" max="8446" customWidth="1" bestFit="1" width="10.0" style="5"/>
    <col min="8447" max="8447" customWidth="1" bestFit="1" width="10.0" style="5"/>
    <col min="8448" max="8448" customWidth="1" bestFit="1" width="10.0" style="5"/>
    <col min="8449" max="8449" customWidth="1" bestFit="1" width="10.0" style="5"/>
    <col min="8450" max="8450" customWidth="1" bestFit="1" width="10.0" style="5"/>
    <col min="8451" max="8451" customWidth="1" bestFit="1" width="10.0" style="5"/>
    <col min="8452" max="8452" customWidth="1" bestFit="1" width="10.0" style="5"/>
    <col min="8453" max="8453" customWidth="1" bestFit="1" width="10.0" style="5"/>
    <col min="8454" max="8454" customWidth="1" bestFit="1" width="10.0" style="5"/>
    <col min="8455" max="8455" customWidth="1" bestFit="1" width="10.0" style="5"/>
    <col min="8456" max="8456" customWidth="1" bestFit="1" width="10.0" style="5"/>
    <col min="8457" max="8457" customWidth="1" bestFit="1" width="10.0" style="5"/>
    <col min="8458" max="8458" customWidth="1" bestFit="1" width="10.0" style="5"/>
    <col min="8459" max="8459" customWidth="1" bestFit="1" width="10.0" style="5"/>
    <col min="8460" max="8460" customWidth="1" bestFit="1" width="10.0" style="5"/>
    <col min="8461" max="8461" customWidth="1" bestFit="1" width="10.0" style="5"/>
    <col min="8462" max="8462" customWidth="1" bestFit="1" width="10.0" style="5"/>
    <col min="8463" max="8463" customWidth="1" bestFit="1" width="10.0" style="5"/>
    <col min="8464" max="8464" customWidth="1" bestFit="1" width="10.0" style="5"/>
    <col min="8465" max="8465" customWidth="1" bestFit="1" width="10.0" style="5"/>
    <col min="8466" max="8466" customWidth="1" bestFit="1" width="10.0" style="5"/>
    <col min="8467" max="8467" customWidth="1" bestFit="1" width="10.0" style="5"/>
    <col min="8468" max="8468" customWidth="1" bestFit="1" width="10.0" style="5"/>
    <col min="8469" max="8469" customWidth="1" bestFit="1" width="10.0" style="5"/>
    <col min="8470" max="8470" customWidth="1" bestFit="1" width="10.0" style="5"/>
    <col min="8471" max="8471" customWidth="1" bestFit="1" width="10.0" style="5"/>
    <col min="8472" max="8472" customWidth="1" bestFit="1" width="10.0" style="5"/>
    <col min="8473" max="8473" customWidth="1" bestFit="1" width="10.0" style="5"/>
    <col min="8474" max="8474" customWidth="1" bestFit="1" width="10.0" style="5"/>
    <col min="8475" max="8475" customWidth="1" bestFit="1" width="10.0" style="5"/>
    <col min="8476" max="8476" customWidth="1" bestFit="1" width="10.0" style="5"/>
    <col min="8477" max="8477" customWidth="1" bestFit="1" width="10.0" style="5"/>
    <col min="8478" max="8478" customWidth="1" bestFit="1" width="10.0" style="5"/>
    <col min="8479" max="8479" customWidth="1" bestFit="1" width="10.0" style="5"/>
    <col min="8480" max="8480" customWidth="1" bestFit="1" width="10.0" style="5"/>
    <col min="8481" max="8481" customWidth="1" bestFit="1" width="10.0" style="5"/>
    <col min="8482" max="8482" customWidth="1" bestFit="1" width="10.0" style="5"/>
    <col min="8483" max="8483" customWidth="1" bestFit="1" width="10.0" style="5"/>
    <col min="8484" max="8484" customWidth="1" bestFit="1" width="10.0" style="5"/>
    <col min="8485" max="8485" customWidth="1" bestFit="1" width="10.0" style="5"/>
    <col min="8486" max="8486" customWidth="1" bestFit="1" width="10.0" style="5"/>
    <col min="8487" max="8487" customWidth="1" bestFit="1" width="10.0" style="5"/>
    <col min="8488" max="8488" customWidth="1" bestFit="1" width="10.0" style="5"/>
    <col min="8489" max="8489" customWidth="1" bestFit="1" width="10.0" style="5"/>
    <col min="8490" max="8490" customWidth="1" bestFit="1" width="10.0" style="5"/>
    <col min="8491" max="8491" customWidth="1" bestFit="1" width="10.0" style="5"/>
    <col min="8492" max="8492" customWidth="1" bestFit="1" width="10.0" style="5"/>
    <col min="8493" max="8493" customWidth="1" bestFit="1" width="10.0" style="5"/>
    <col min="8494" max="8494" customWidth="1" bestFit="1" width="10.0" style="5"/>
    <col min="8495" max="8495" customWidth="1" bestFit="1" width="10.0" style="5"/>
    <col min="8496" max="8496" customWidth="1" bestFit="1" width="10.0" style="5"/>
    <col min="8497" max="8497" customWidth="1" bestFit="1" width="10.0" style="5"/>
    <col min="8498" max="8498" customWidth="1" bestFit="1" width="10.0" style="5"/>
    <col min="8499" max="8499" customWidth="1" bestFit="1" width="10.0" style="5"/>
    <col min="8500" max="8500" customWidth="1" bestFit="1" width="10.0" style="5"/>
    <col min="8501" max="8501" customWidth="1" bestFit="1" width="10.0" style="5"/>
    <col min="8502" max="8502" customWidth="1" bestFit="1" width="10.0" style="5"/>
    <col min="8503" max="8503" customWidth="1" bestFit="1" width="10.0" style="5"/>
    <col min="8504" max="8504" customWidth="1" bestFit="1" width="10.0" style="5"/>
    <col min="8505" max="8505" customWidth="1" bestFit="1" width="10.0" style="5"/>
    <col min="8506" max="8506" customWidth="1" bestFit="1" width="10.0" style="5"/>
    <col min="8507" max="8507" customWidth="1" bestFit="1" width="10.0" style="5"/>
    <col min="8508" max="8508" customWidth="1" bestFit="1" width="10.0" style="5"/>
    <col min="8509" max="8509" customWidth="1" bestFit="1" width="10.0" style="5"/>
    <col min="8510" max="8510" customWidth="1" bestFit="1" width="10.0" style="5"/>
    <col min="8511" max="8511" customWidth="1" bestFit="1" width="10.0" style="5"/>
    <col min="8512" max="8512" customWidth="1" bestFit="1" width="10.0" style="5"/>
    <col min="8513" max="8513" customWidth="1" bestFit="1" width="10.0" style="5"/>
    <col min="8514" max="8514" customWidth="1" bestFit="1" width="10.0" style="5"/>
    <col min="8515" max="8515" customWidth="1" bestFit="1" width="10.0" style="5"/>
    <col min="8516" max="8516" customWidth="1" bestFit="1" width="10.0" style="5"/>
    <col min="8517" max="8517" customWidth="1" bestFit="1" width="10.0" style="5"/>
    <col min="8518" max="8518" customWidth="1" bestFit="1" width="10.0" style="5"/>
    <col min="8519" max="8519" customWidth="1" bestFit="1" width="10.0" style="5"/>
    <col min="8520" max="8520" customWidth="1" bestFit="1" width="10.0" style="5"/>
    <col min="8521" max="8521" customWidth="1" bestFit="1" width="10.0" style="5"/>
    <col min="8522" max="8522" customWidth="1" bestFit="1" width="10.0" style="5"/>
    <col min="8523" max="8523" customWidth="1" bestFit="1" width="10.0" style="5"/>
    <col min="8524" max="8524" customWidth="1" bestFit="1" width="10.0" style="5"/>
    <col min="8525" max="8525" customWidth="1" bestFit="1" width="10.0" style="5"/>
    <col min="8526" max="8526" customWidth="1" bestFit="1" width="10.0" style="5"/>
    <col min="8527" max="8527" customWidth="1" bestFit="1" width="10.0" style="5"/>
    <col min="8528" max="8528" customWidth="1" bestFit="1" width="10.0" style="5"/>
    <col min="8529" max="8529" customWidth="1" bestFit="1" width="10.0" style="5"/>
    <col min="8530" max="8530" customWidth="1" bestFit="1" width="10.0" style="5"/>
    <col min="8531" max="8531" customWidth="1" bestFit="1" width="10.0" style="5"/>
    <col min="8532" max="8532" customWidth="1" bestFit="1" width="10.0" style="5"/>
    <col min="8533" max="8533" customWidth="1" bestFit="1" width="10.0" style="5"/>
    <col min="8534" max="8534" customWidth="1" bestFit="1" width="10.0" style="5"/>
    <col min="8535" max="8535" customWidth="1" bestFit="1" width="10.0" style="5"/>
    <col min="8536" max="8536" customWidth="1" bestFit="1" width="10.0" style="5"/>
    <col min="8537" max="8537" customWidth="1" bestFit="1" width="10.0" style="5"/>
    <col min="8538" max="8538" customWidth="1" bestFit="1" width="10.0" style="5"/>
    <col min="8539" max="8539" customWidth="1" bestFit="1" width="10.0" style="5"/>
    <col min="8540" max="8540" customWidth="1" bestFit="1" width="10.0" style="5"/>
    <col min="8541" max="8541" customWidth="1" bestFit="1" width="10.0" style="5"/>
    <col min="8542" max="8542" customWidth="1" bestFit="1" width="10.0" style="5"/>
    <col min="8543" max="8543" customWidth="1" bestFit="1" width="10.0" style="5"/>
    <col min="8544" max="8544" customWidth="1" bestFit="1" width="10.0" style="5"/>
    <col min="8545" max="8545" customWidth="1" bestFit="1" width="10.0" style="5"/>
    <col min="8546" max="8546" customWidth="1" bestFit="1" width="10.0" style="5"/>
    <col min="8547" max="8547" customWidth="1" bestFit="1" width="10.0" style="5"/>
    <col min="8548" max="8548" customWidth="1" bestFit="1" width="10.0" style="5"/>
    <col min="8549" max="8549" customWidth="1" bestFit="1" width="10.0" style="5"/>
    <col min="8550" max="8550" customWidth="1" bestFit="1" width="10.0" style="5"/>
    <col min="8551" max="8551" customWidth="1" bestFit="1" width="10.0" style="5"/>
    <col min="8552" max="8552" customWidth="1" bestFit="1" width="10.0" style="5"/>
    <col min="8553" max="8553" customWidth="1" bestFit="1" width="10.0" style="5"/>
    <col min="8554" max="8554" customWidth="1" bestFit="1" width="10.0" style="5"/>
    <col min="8555" max="8555" customWidth="1" bestFit="1" width="10.0" style="5"/>
    <col min="8556" max="8556" customWidth="1" bestFit="1" width="10.0" style="5"/>
    <col min="8557" max="8557" customWidth="1" bestFit="1" width="10.0" style="5"/>
    <col min="8558" max="8558" customWidth="1" bestFit="1" width="10.0" style="5"/>
    <col min="8559" max="8559" customWidth="1" bestFit="1" width="10.0" style="5"/>
    <col min="8560" max="8560" customWidth="1" bestFit="1" width="10.0" style="5"/>
    <col min="8561" max="8561" customWidth="1" bestFit="1" width="10.0" style="5"/>
    <col min="8562" max="8562" customWidth="1" bestFit="1" width="10.0" style="5"/>
    <col min="8563" max="8563" customWidth="1" bestFit="1" width="10.0" style="5"/>
    <col min="8564" max="8564" customWidth="1" bestFit="1" width="10.0" style="5"/>
    <col min="8565" max="8565" customWidth="1" bestFit="1" width="10.0" style="5"/>
    <col min="8566" max="8566" customWidth="1" bestFit="1" width="10.0" style="5"/>
    <col min="8567" max="8567" customWidth="1" bestFit="1" width="10.0" style="5"/>
    <col min="8568" max="8568" customWidth="1" bestFit="1" width="10.0" style="5"/>
    <col min="8569" max="8569" customWidth="1" bestFit="1" width="10.0" style="5"/>
    <col min="8570" max="8570" customWidth="1" bestFit="1" width="10.0" style="5"/>
    <col min="8571" max="8571" customWidth="1" bestFit="1" width="10.0" style="5"/>
    <col min="8572" max="8572" customWidth="1" bestFit="1" width="10.0" style="5"/>
    <col min="8573" max="8573" customWidth="1" bestFit="1" width="10.0" style="5"/>
    <col min="8574" max="8574" customWidth="1" bestFit="1" width="10.0" style="5"/>
    <col min="8575" max="8575" customWidth="1" bestFit="1" width="10.0" style="5"/>
    <col min="8576" max="8576" customWidth="1" bestFit="1" width="10.0" style="5"/>
    <col min="8577" max="8577" customWidth="1" bestFit="1" width="10.0" style="5"/>
    <col min="8578" max="8578" customWidth="1" bestFit="1" width="10.0" style="5"/>
    <col min="8579" max="8579" customWidth="1" bestFit="1" width="10.0" style="5"/>
    <col min="8580" max="8580" customWidth="1" bestFit="1" width="10.0" style="5"/>
    <col min="8581" max="8581" customWidth="1" bestFit="1" width="10.0" style="5"/>
    <col min="8582" max="8582" customWidth="1" bestFit="1" width="10.0" style="5"/>
    <col min="8583" max="8583" customWidth="1" bestFit="1" width="10.0" style="5"/>
    <col min="8584" max="8584" customWidth="1" bestFit="1" width="10.0" style="5"/>
    <col min="8585" max="8585" customWidth="1" bestFit="1" width="10.0" style="5"/>
    <col min="8586" max="8586" customWidth="1" bestFit="1" width="10.0" style="5"/>
    <col min="8587" max="8587" customWidth="1" bestFit="1" width="10.0" style="5"/>
    <col min="8588" max="8588" customWidth="1" bestFit="1" width="10.0" style="5"/>
    <col min="8589" max="8589" customWidth="1" bestFit="1" width="10.0" style="5"/>
    <col min="8590" max="8590" customWidth="1" bestFit="1" width="10.0" style="5"/>
    <col min="8591" max="8591" customWidth="1" bestFit="1" width="10.0" style="5"/>
    <col min="8592" max="8592" customWidth="1" bestFit="1" width="10.0" style="5"/>
    <col min="8593" max="8593" customWidth="1" bestFit="1" width="10.0" style="5"/>
    <col min="8594" max="8594" customWidth="1" bestFit="1" width="10.0" style="5"/>
    <col min="8595" max="8595" customWidth="1" bestFit="1" width="10.0" style="5"/>
    <col min="8596" max="8596" customWidth="1" bestFit="1" width="10.0" style="5"/>
    <col min="8597" max="8597" customWidth="1" bestFit="1" width="10.0" style="5"/>
    <col min="8598" max="8598" customWidth="1" bestFit="1" width="10.0" style="5"/>
    <col min="8599" max="8599" customWidth="1" bestFit="1" width="10.0" style="5"/>
    <col min="8600" max="8600" customWidth="1" bestFit="1" width="10.0" style="5"/>
    <col min="8601" max="8601" customWidth="1" bestFit="1" width="10.0" style="5"/>
    <col min="8602" max="8602" customWidth="1" bestFit="1" width="10.0" style="5"/>
    <col min="8603" max="8603" customWidth="1" bestFit="1" width="10.0" style="5"/>
    <col min="8604" max="8604" customWidth="1" bestFit="1" width="10.0" style="5"/>
    <col min="8605" max="8605" customWidth="1" bestFit="1" width="10.0" style="5"/>
    <col min="8606" max="8606" customWidth="1" bestFit="1" width="10.0" style="5"/>
    <col min="8607" max="8607" customWidth="1" bestFit="1" width="10.0" style="5"/>
    <col min="8608" max="8608" customWidth="1" bestFit="1" width="10.0" style="5"/>
    <col min="8609" max="8609" customWidth="1" bestFit="1" width="10.0" style="5"/>
    <col min="8610" max="8610" customWidth="1" bestFit="1" width="10.0" style="5"/>
    <col min="8611" max="8611" customWidth="1" bestFit="1" width="10.0" style="5"/>
    <col min="8612" max="8612" customWidth="1" bestFit="1" width="10.0" style="5"/>
    <col min="8613" max="8613" customWidth="1" bestFit="1" width="10.0" style="5"/>
    <col min="8614" max="8614" customWidth="1" bestFit="1" width="10.0" style="5"/>
    <col min="8615" max="8615" customWidth="1" bestFit="1" width="10.0" style="5"/>
    <col min="8616" max="8616" customWidth="1" bestFit="1" width="10.0" style="5"/>
    <col min="8617" max="8617" customWidth="1" bestFit="1" width="10.0" style="5"/>
    <col min="8618" max="8618" customWidth="1" bestFit="1" width="10.0" style="5"/>
    <col min="8619" max="8619" customWidth="1" bestFit="1" width="10.0" style="5"/>
    <col min="8620" max="8620" customWidth="1" bestFit="1" width="10.0" style="5"/>
    <col min="8621" max="8621" customWidth="1" bestFit="1" width="10.0" style="5"/>
    <col min="8622" max="8622" customWidth="1" bestFit="1" width="10.0" style="5"/>
    <col min="8623" max="8623" customWidth="1" bestFit="1" width="10.0" style="5"/>
    <col min="8624" max="8624" customWidth="1" bestFit="1" width="10.0" style="5"/>
    <col min="8625" max="8625" customWidth="1" bestFit="1" width="10.0" style="5"/>
    <col min="8626" max="8626" customWidth="1" bestFit="1" width="10.0" style="5"/>
    <col min="8627" max="8627" customWidth="1" bestFit="1" width="10.0" style="5"/>
    <col min="8628" max="8628" customWidth="1" bestFit="1" width="10.0" style="5"/>
    <col min="8629" max="8629" customWidth="1" bestFit="1" width="10.0" style="5"/>
    <col min="8630" max="8630" customWidth="1" bestFit="1" width="10.0" style="5"/>
    <col min="8631" max="8631" customWidth="1" bestFit="1" width="10.0" style="5"/>
    <col min="8632" max="8632" customWidth="1" bestFit="1" width="10.0" style="5"/>
    <col min="8633" max="8633" customWidth="1" bestFit="1" width="10.0" style="5"/>
    <col min="8634" max="8634" customWidth="1" bestFit="1" width="10.0" style="5"/>
    <col min="8635" max="8635" customWidth="1" bestFit="1" width="10.0" style="5"/>
    <col min="8636" max="8636" customWidth="1" bestFit="1" width="10.0" style="5"/>
    <col min="8637" max="8637" customWidth="1" bestFit="1" width="10.0" style="5"/>
    <col min="8638" max="8638" customWidth="1" bestFit="1" width="10.0" style="5"/>
    <col min="8639" max="8639" customWidth="1" bestFit="1" width="10.0" style="5"/>
    <col min="8640" max="8640" customWidth="1" bestFit="1" width="10.0" style="5"/>
    <col min="8641" max="8641" customWidth="1" bestFit="1" width="10.0" style="5"/>
    <col min="8642" max="8642" customWidth="1" bestFit="1" width="10.0" style="5"/>
    <col min="8643" max="8643" customWidth="1" bestFit="1" width="10.0" style="5"/>
    <col min="8644" max="8644" customWidth="1" bestFit="1" width="10.0" style="5"/>
    <col min="8645" max="8645" customWidth="1" bestFit="1" width="10.0" style="5"/>
    <col min="8646" max="8646" customWidth="1" bestFit="1" width="10.0" style="5"/>
    <col min="8647" max="8647" customWidth="1" bestFit="1" width="10.0" style="5"/>
    <col min="8648" max="8648" customWidth="1" bestFit="1" width="10.0" style="5"/>
    <col min="8649" max="8649" customWidth="1" bestFit="1" width="10.0" style="5"/>
    <col min="8650" max="8650" customWidth="1" bestFit="1" width="10.0" style="5"/>
    <col min="8651" max="8651" customWidth="1" bestFit="1" width="10.0" style="5"/>
    <col min="8652" max="8652" customWidth="1" bestFit="1" width="10.0" style="5"/>
    <col min="8653" max="8653" customWidth="1" bestFit="1" width="10.0" style="5"/>
    <col min="8654" max="8654" customWidth="1" bestFit="1" width="10.0" style="5"/>
    <col min="8655" max="8655" customWidth="1" bestFit="1" width="10.0" style="5"/>
    <col min="8656" max="8656" customWidth="1" bestFit="1" width="10.0" style="5"/>
    <col min="8657" max="8657" customWidth="1" bestFit="1" width="10.0" style="5"/>
    <col min="8658" max="8658" customWidth="1" bestFit="1" width="10.0" style="5"/>
    <col min="8659" max="8659" customWidth="1" bestFit="1" width="10.0" style="5"/>
    <col min="8660" max="8660" customWidth="1" bestFit="1" width="10.0" style="5"/>
    <col min="8661" max="8661" customWidth="1" bestFit="1" width="10.0" style="5"/>
    <col min="8662" max="8662" customWidth="1" bestFit="1" width="10.0" style="5"/>
    <col min="8663" max="8663" customWidth="1" bestFit="1" width="10.0" style="5"/>
    <col min="8664" max="8664" customWidth="1" bestFit="1" width="10.0" style="5"/>
    <col min="8665" max="8665" customWidth="1" bestFit="1" width="10.0" style="5"/>
    <col min="8666" max="8666" customWidth="1" bestFit="1" width="10.0" style="5"/>
    <col min="8667" max="8667" customWidth="1" bestFit="1" width="10.0" style="5"/>
    <col min="8668" max="8668" customWidth="1" bestFit="1" width="10.0" style="5"/>
    <col min="8669" max="8669" customWidth="1" bestFit="1" width="10.0" style="5"/>
    <col min="8670" max="8670" customWidth="1" bestFit="1" width="10.0" style="5"/>
    <col min="8671" max="8671" customWidth="1" bestFit="1" width="10.0" style="5"/>
    <col min="8672" max="8672" customWidth="1" bestFit="1" width="10.0" style="5"/>
    <col min="8673" max="8673" customWidth="1" bestFit="1" width="10.0" style="5"/>
    <col min="8674" max="8674" customWidth="1" bestFit="1" width="10.0" style="5"/>
    <col min="8675" max="8675" customWidth="1" bestFit="1" width="10.0" style="5"/>
    <col min="8676" max="8676" customWidth="1" bestFit="1" width="10.0" style="5"/>
    <col min="8677" max="8677" customWidth="1" bestFit="1" width="10.0" style="5"/>
    <col min="8678" max="8678" customWidth="1" bestFit="1" width="10.0" style="5"/>
    <col min="8679" max="8679" customWidth="1" bestFit="1" width="10.0" style="5"/>
    <col min="8680" max="8680" customWidth="1" bestFit="1" width="10.0" style="5"/>
    <col min="8681" max="8681" customWidth="1" bestFit="1" width="10.0" style="5"/>
    <col min="8682" max="8682" customWidth="1" bestFit="1" width="10.0" style="5"/>
    <col min="8683" max="8683" customWidth="1" bestFit="1" width="10.0" style="5"/>
    <col min="8684" max="8684" customWidth="1" bestFit="1" width="10.0" style="5"/>
    <col min="8685" max="8685" customWidth="1" bestFit="1" width="10.0" style="5"/>
    <col min="8686" max="8686" customWidth="1" bestFit="1" width="10.0" style="5"/>
    <col min="8687" max="8687" customWidth="1" bestFit="1" width="10.0" style="5"/>
    <col min="8688" max="8688" customWidth="1" bestFit="1" width="10.0" style="5"/>
    <col min="8689" max="8689" customWidth="1" bestFit="1" width="10.0" style="5"/>
    <col min="8690" max="8690" customWidth="1" bestFit="1" width="10.0" style="5"/>
    <col min="8691" max="8691" customWidth="1" bestFit="1" width="10.0" style="5"/>
    <col min="8692" max="8692" customWidth="1" bestFit="1" width="10.0" style="5"/>
    <col min="8693" max="8693" customWidth="1" bestFit="1" width="10.0" style="5"/>
    <col min="8694" max="8694" customWidth="1" bestFit="1" width="10.0" style="5"/>
    <col min="8695" max="8695" customWidth="1" bestFit="1" width="10.0" style="5"/>
    <col min="8696" max="8696" customWidth="1" bestFit="1" width="10.0" style="5"/>
    <col min="8697" max="8697" customWidth="1" bestFit="1" width="10.0" style="5"/>
    <col min="8698" max="8698" customWidth="1" bestFit="1" width="10.0" style="5"/>
    <col min="8699" max="8699" customWidth="1" bestFit="1" width="10.0" style="5"/>
    <col min="8700" max="8700" customWidth="1" bestFit="1" width="10.0" style="5"/>
    <col min="8701" max="8701" customWidth="1" bestFit="1" width="10.0" style="5"/>
    <col min="8702" max="8702" customWidth="1" bestFit="1" width="10.0" style="5"/>
    <col min="8703" max="8703" customWidth="1" bestFit="1" width="10.0" style="5"/>
    <col min="8704" max="8704" customWidth="1" bestFit="1" width="10.0" style="5"/>
    <col min="8705" max="8705" customWidth="1" bestFit="1" width="10.0" style="5"/>
    <col min="8706" max="8706" customWidth="1" bestFit="1" width="10.0" style="5"/>
    <col min="8707" max="8707" customWidth="1" bestFit="1" width="10.0" style="5"/>
    <col min="8708" max="8708" customWidth="1" bestFit="1" width="10.0" style="5"/>
    <col min="8709" max="8709" customWidth="1" bestFit="1" width="10.0" style="5"/>
    <col min="8710" max="8710" customWidth="1" bestFit="1" width="10.0" style="5"/>
    <col min="8711" max="8711" customWidth="1" bestFit="1" width="10.0" style="5"/>
    <col min="8712" max="8712" customWidth="1" bestFit="1" width="10.0" style="5"/>
    <col min="8713" max="8713" customWidth="1" bestFit="1" width="10.0" style="5"/>
    <col min="8714" max="8714" customWidth="1" bestFit="1" width="10.0" style="5"/>
    <col min="8715" max="8715" customWidth="1" bestFit="1" width="10.0" style="5"/>
    <col min="8716" max="8716" customWidth="1" bestFit="1" width="10.0" style="5"/>
    <col min="8717" max="8717" customWidth="1" bestFit="1" width="10.0" style="5"/>
    <col min="8718" max="8718" customWidth="1" bestFit="1" width="10.0" style="5"/>
    <col min="8719" max="8719" customWidth="1" bestFit="1" width="10.0" style="5"/>
    <col min="8720" max="8720" customWidth="1" bestFit="1" width="10.0" style="5"/>
    <col min="8721" max="8721" customWidth="1" bestFit="1" width="10.0" style="5"/>
    <col min="8722" max="8722" customWidth="1" bestFit="1" width="10.0" style="5"/>
    <col min="8723" max="8723" customWidth="1" bestFit="1" width="10.0" style="5"/>
    <col min="8724" max="8724" customWidth="1" bestFit="1" width="10.0" style="5"/>
    <col min="8725" max="8725" customWidth="1" bestFit="1" width="10.0" style="5"/>
    <col min="8726" max="8726" customWidth="1" bestFit="1" width="10.0" style="5"/>
    <col min="8727" max="8727" customWidth="1" bestFit="1" width="10.0" style="5"/>
    <col min="8728" max="8728" customWidth="1" bestFit="1" width="10.0" style="5"/>
    <col min="8729" max="8729" customWidth="1" bestFit="1" width="10.0" style="5"/>
    <col min="8730" max="8730" customWidth="1" bestFit="1" width="10.0" style="5"/>
    <col min="8731" max="8731" customWidth="1" bestFit="1" width="10.0" style="5"/>
    <col min="8732" max="8732" customWidth="1" bestFit="1" width="10.0" style="5"/>
    <col min="8733" max="8733" customWidth="1" bestFit="1" width="10.0" style="5"/>
    <col min="8734" max="8734" customWidth="1" bestFit="1" width="10.0" style="5"/>
    <col min="8735" max="8735" customWidth="1" bestFit="1" width="10.0" style="5"/>
    <col min="8736" max="8736" customWidth="1" bestFit="1" width="10.0" style="5"/>
    <col min="8737" max="8737" customWidth="1" bestFit="1" width="10.0" style="5"/>
    <col min="8738" max="8738" customWidth="1" bestFit="1" width="10.0" style="5"/>
    <col min="8739" max="8739" customWidth="1" bestFit="1" width="10.0" style="5"/>
    <col min="8740" max="8740" customWidth="1" bestFit="1" width="10.0" style="5"/>
    <col min="8741" max="8741" customWidth="1" bestFit="1" width="10.0" style="5"/>
    <col min="8742" max="8742" customWidth="1" bestFit="1" width="10.0" style="5"/>
    <col min="8743" max="8743" customWidth="1" bestFit="1" width="10.0" style="5"/>
    <col min="8744" max="8744" customWidth="1" bestFit="1" width="10.0" style="5"/>
    <col min="8745" max="8745" customWidth="1" bestFit="1" width="10.0" style="5"/>
    <col min="8746" max="8746" customWidth="1" bestFit="1" width="10.0" style="5"/>
    <col min="8747" max="8747" customWidth="1" bestFit="1" width="10.0" style="5"/>
    <col min="8748" max="8748" customWidth="1" bestFit="1" width="10.0" style="5"/>
    <col min="8749" max="8749" customWidth="1" bestFit="1" width="10.0" style="5"/>
    <col min="8750" max="8750" customWidth="1" bestFit="1" width="10.0" style="5"/>
    <col min="8751" max="8751" customWidth="1" bestFit="1" width="10.0" style="5"/>
    <col min="8752" max="8752" customWidth="1" bestFit="1" width="10.0" style="5"/>
    <col min="8753" max="8753" customWidth="1" bestFit="1" width="10.0" style="5"/>
    <col min="8754" max="8754" customWidth="1" bestFit="1" width="10.0" style="5"/>
    <col min="8755" max="8755" customWidth="1" bestFit="1" width="10.0" style="5"/>
    <col min="8756" max="8756" customWidth="1" bestFit="1" width="10.0" style="5"/>
    <col min="8757" max="8757" customWidth="1" bestFit="1" width="10.0" style="5"/>
    <col min="8758" max="8758" customWidth="1" bestFit="1" width="10.0" style="5"/>
    <col min="8759" max="8759" customWidth="1" bestFit="1" width="10.0" style="5"/>
    <col min="8760" max="8760" customWidth="1" bestFit="1" width="10.0" style="5"/>
    <col min="8761" max="8761" customWidth="1" bestFit="1" width="10.0" style="5"/>
    <col min="8762" max="8762" customWidth="1" bestFit="1" width="10.0" style="5"/>
    <col min="8763" max="8763" customWidth="1" bestFit="1" width="10.0" style="5"/>
    <col min="8764" max="8764" customWidth="1" bestFit="1" width="10.0" style="5"/>
    <col min="8765" max="8765" customWidth="1" bestFit="1" width="10.0" style="5"/>
    <col min="8766" max="8766" customWidth="1" bestFit="1" width="10.0" style="5"/>
    <col min="8767" max="8767" customWidth="1" bestFit="1" width="10.0" style="5"/>
    <col min="8768" max="8768" customWidth="1" bestFit="1" width="10.0" style="5"/>
    <col min="8769" max="8769" customWidth="1" bestFit="1" width="10.0" style="5"/>
    <col min="8770" max="8770" customWidth="1" bestFit="1" width="10.0" style="5"/>
    <col min="8771" max="8771" customWidth="1" bestFit="1" width="10.0" style="5"/>
    <col min="8772" max="8772" customWidth="1" bestFit="1" width="10.0" style="5"/>
    <col min="8773" max="8773" customWidth="1" bestFit="1" width="10.0" style="5"/>
    <col min="8774" max="8774" customWidth="1" bestFit="1" width="10.0" style="5"/>
    <col min="8775" max="8775" customWidth="1" bestFit="1" width="10.0" style="5"/>
    <col min="8776" max="8776" customWidth="1" bestFit="1" width="10.0" style="5"/>
    <col min="8777" max="8777" customWidth="1" bestFit="1" width="10.0" style="5"/>
    <col min="8778" max="8778" customWidth="1" bestFit="1" width="10.0" style="5"/>
    <col min="8779" max="8779" customWidth="1" bestFit="1" width="10.0" style="5"/>
    <col min="8780" max="8780" customWidth="1" bestFit="1" width="10.0" style="5"/>
    <col min="8781" max="8781" customWidth="1" bestFit="1" width="10.0" style="5"/>
    <col min="8782" max="8782" customWidth="1" bestFit="1" width="10.0" style="5"/>
    <col min="8783" max="8783" customWidth="1" bestFit="1" width="10.0" style="5"/>
    <col min="8784" max="8784" customWidth="1" bestFit="1" width="10.0" style="5"/>
    <col min="8785" max="8785" customWidth="1" bestFit="1" width="10.0" style="5"/>
    <col min="8786" max="8786" customWidth="1" bestFit="1" width="10.0" style="5"/>
    <col min="8787" max="8787" customWidth="1" bestFit="1" width="10.0" style="5"/>
    <col min="8788" max="8788" customWidth="1" bestFit="1" width="10.0" style="5"/>
    <col min="8789" max="8789" customWidth="1" bestFit="1" width="10.0" style="5"/>
    <col min="8790" max="8790" customWidth="1" bestFit="1" width="10.0" style="5"/>
    <col min="8791" max="8791" customWidth="1" bestFit="1" width="10.0" style="5"/>
    <col min="8792" max="8792" customWidth="1" bestFit="1" width="10.0" style="5"/>
    <col min="8793" max="8793" customWidth="1" bestFit="1" width="10.0" style="5"/>
    <col min="8794" max="8794" customWidth="1" bestFit="1" width="10.0" style="5"/>
    <col min="8795" max="8795" customWidth="1" bestFit="1" width="10.0" style="5"/>
    <col min="8796" max="8796" customWidth="1" bestFit="1" width="10.0" style="5"/>
    <col min="8797" max="8797" customWidth="1" bestFit="1" width="10.0" style="5"/>
    <col min="8798" max="8798" customWidth="1" bestFit="1" width="10.0" style="5"/>
    <col min="8799" max="8799" customWidth="1" bestFit="1" width="10.0" style="5"/>
    <col min="8800" max="8800" customWidth="1" bestFit="1" width="10.0" style="5"/>
    <col min="8801" max="8801" customWidth="1" bestFit="1" width="10.0" style="5"/>
    <col min="8802" max="8802" customWidth="1" bestFit="1" width="10.0" style="5"/>
    <col min="8803" max="8803" customWidth="1" bestFit="1" width="10.0" style="5"/>
    <col min="8804" max="8804" customWidth="1" bestFit="1" width="10.0" style="5"/>
    <col min="8805" max="8805" customWidth="1" bestFit="1" width="10.0" style="5"/>
    <col min="8806" max="8806" customWidth="1" bestFit="1" width="10.0" style="5"/>
    <col min="8807" max="8807" customWidth="1" bestFit="1" width="10.0" style="5"/>
    <col min="8808" max="8808" customWidth="1" bestFit="1" width="10.0" style="5"/>
    <col min="8809" max="8809" customWidth="1" bestFit="1" width="10.0" style="5"/>
    <col min="8810" max="8810" customWidth="1" bestFit="1" width="10.0" style="5"/>
    <col min="8811" max="8811" customWidth="1" bestFit="1" width="10.0" style="5"/>
    <col min="8812" max="8812" customWidth="1" bestFit="1" width="10.0" style="5"/>
    <col min="8813" max="8813" customWidth="1" bestFit="1" width="10.0" style="5"/>
    <col min="8814" max="8814" customWidth="1" bestFit="1" width="10.0" style="5"/>
    <col min="8815" max="8815" customWidth="1" bestFit="1" width="10.0" style="5"/>
    <col min="8816" max="8816" customWidth="1" bestFit="1" width="10.0" style="5"/>
    <col min="8817" max="8817" customWidth="1" bestFit="1" width="10.0" style="5"/>
    <col min="8818" max="8818" customWidth="1" bestFit="1" width="10.0" style="5"/>
    <col min="8819" max="8819" customWidth="1" bestFit="1" width="10.0" style="5"/>
    <col min="8820" max="8820" customWidth="1" bestFit="1" width="10.0" style="5"/>
    <col min="8821" max="8821" customWidth="1" bestFit="1" width="10.0" style="5"/>
    <col min="8822" max="8822" customWidth="1" bestFit="1" width="10.0" style="5"/>
    <col min="8823" max="8823" customWidth="1" bestFit="1" width="10.0" style="5"/>
    <col min="8824" max="8824" customWidth="1" bestFit="1" width="10.0" style="5"/>
    <col min="8825" max="8825" customWidth="1" bestFit="1" width="10.0" style="5"/>
    <col min="8826" max="8826" customWidth="1" bestFit="1" width="10.0" style="5"/>
    <col min="8827" max="8827" customWidth="1" bestFit="1" width="10.0" style="5"/>
    <col min="8828" max="8828" customWidth="1" bestFit="1" width="10.0" style="5"/>
    <col min="8829" max="8829" customWidth="1" bestFit="1" width="10.0" style="5"/>
    <col min="8830" max="8830" customWidth="1" bestFit="1" width="10.0" style="5"/>
    <col min="8831" max="8831" customWidth="1" bestFit="1" width="10.0" style="5"/>
    <col min="8832" max="8832" customWidth="1" bestFit="1" width="10.0" style="5"/>
    <col min="8833" max="8833" customWidth="1" bestFit="1" width="10.0" style="5"/>
    <col min="8834" max="8834" customWidth="1" bestFit="1" width="10.0" style="5"/>
    <col min="8835" max="8835" customWidth="1" bestFit="1" width="10.0" style="5"/>
    <col min="8836" max="8836" customWidth="1" bestFit="1" width="10.0" style="5"/>
    <col min="8837" max="8837" customWidth="1" bestFit="1" width="10.0" style="5"/>
    <col min="8838" max="8838" customWidth="1" bestFit="1" width="10.0" style="5"/>
    <col min="8839" max="8839" customWidth="1" bestFit="1" width="10.0" style="5"/>
    <col min="8840" max="8840" customWidth="1" bestFit="1" width="10.0" style="5"/>
    <col min="8841" max="8841" customWidth="1" bestFit="1" width="10.0" style="5"/>
    <col min="8842" max="8842" customWidth="1" bestFit="1" width="10.0" style="5"/>
    <col min="8843" max="8843" customWidth="1" bestFit="1" width="10.0" style="5"/>
    <col min="8844" max="8844" customWidth="1" bestFit="1" width="10.0" style="5"/>
    <col min="8845" max="8845" customWidth="1" bestFit="1" width="10.0" style="5"/>
    <col min="8846" max="8846" customWidth="1" bestFit="1" width="10.0" style="5"/>
    <col min="8847" max="8847" customWidth="1" bestFit="1" width="10.0" style="5"/>
    <col min="8848" max="8848" customWidth="1" bestFit="1" width="10.0" style="5"/>
    <col min="8849" max="8849" customWidth="1" bestFit="1" width="10.0" style="5"/>
    <col min="8850" max="8850" customWidth="1" bestFit="1" width="10.0" style="5"/>
    <col min="8851" max="8851" customWidth="1" bestFit="1" width="10.0" style="5"/>
    <col min="8852" max="8852" customWidth="1" bestFit="1" width="10.0" style="5"/>
    <col min="8853" max="8853" customWidth="1" bestFit="1" width="10.0" style="5"/>
    <col min="8854" max="8854" customWidth="1" bestFit="1" width="10.0" style="5"/>
    <col min="8855" max="8855" customWidth="1" bestFit="1" width="10.0" style="5"/>
    <col min="8856" max="8856" customWidth="1" bestFit="1" width="10.0" style="5"/>
    <col min="8857" max="8857" customWidth="1" bestFit="1" width="10.0" style="5"/>
    <col min="8858" max="8858" customWidth="1" bestFit="1" width="10.0" style="5"/>
    <col min="8859" max="8859" customWidth="1" bestFit="1" width="10.0" style="5"/>
    <col min="8860" max="8860" customWidth="1" bestFit="1" width="10.0" style="5"/>
    <col min="8861" max="8861" customWidth="1" bestFit="1" width="10.0" style="5"/>
    <col min="8862" max="8862" customWidth="1" bestFit="1" width="10.0" style="5"/>
    <col min="8863" max="8863" customWidth="1" bestFit="1" width="10.0" style="5"/>
    <col min="8864" max="8864" customWidth="1" bestFit="1" width="10.0" style="5"/>
    <col min="8865" max="8865" customWidth="1" bestFit="1" width="10.0" style="5"/>
    <col min="8866" max="8866" customWidth="1" bestFit="1" width="10.0" style="5"/>
    <col min="8867" max="8867" customWidth="1" bestFit="1" width="10.0" style="5"/>
    <col min="8868" max="8868" customWidth="1" bestFit="1" width="10.0" style="5"/>
    <col min="8869" max="8869" customWidth="1" bestFit="1" width="10.0" style="5"/>
    <col min="8870" max="8870" customWidth="1" bestFit="1" width="10.0" style="5"/>
    <col min="8871" max="8871" customWidth="1" bestFit="1" width="10.0" style="5"/>
    <col min="8872" max="8872" customWidth="1" bestFit="1" width="10.0" style="5"/>
    <col min="8873" max="8873" customWidth="1" bestFit="1" width="10.0" style="5"/>
    <col min="8874" max="8874" customWidth="1" bestFit="1" width="10.0" style="5"/>
    <col min="8875" max="8875" customWidth="1" bestFit="1" width="10.0" style="5"/>
    <col min="8876" max="8876" customWidth="1" bestFit="1" width="10.0" style="5"/>
    <col min="8877" max="8877" customWidth="1" bestFit="1" width="10.0" style="5"/>
    <col min="8878" max="8878" customWidth="1" bestFit="1" width="10.0" style="5"/>
    <col min="8879" max="8879" customWidth="1" bestFit="1" width="10.0" style="5"/>
    <col min="8880" max="8880" customWidth="1" bestFit="1" width="10.0" style="5"/>
    <col min="8881" max="8881" customWidth="1" bestFit="1" width="10.0" style="5"/>
    <col min="8882" max="8882" customWidth="1" bestFit="1" width="10.0" style="5"/>
    <col min="8883" max="8883" customWidth="1" bestFit="1" width="10.0" style="5"/>
    <col min="8884" max="8884" customWidth="1" bestFit="1" width="10.0" style="5"/>
    <col min="8885" max="8885" customWidth="1" bestFit="1" width="10.0" style="5"/>
    <col min="8886" max="8886" customWidth="1" bestFit="1" width="10.0" style="5"/>
    <col min="8887" max="8887" customWidth="1" bestFit="1" width="10.0" style="5"/>
    <col min="8888" max="8888" customWidth="1" bestFit="1" width="10.0" style="5"/>
    <col min="8889" max="8889" customWidth="1" bestFit="1" width="10.0" style="5"/>
    <col min="8890" max="8890" customWidth="1" bestFit="1" width="10.0" style="5"/>
    <col min="8891" max="8891" customWidth="1" bestFit="1" width="10.0" style="5"/>
    <col min="8892" max="8892" customWidth="1" bestFit="1" width="10.0" style="5"/>
    <col min="8893" max="8893" customWidth="1" bestFit="1" width="10.0" style="5"/>
    <col min="8894" max="8894" customWidth="1" bestFit="1" width="10.0" style="5"/>
    <col min="8895" max="8895" customWidth="1" bestFit="1" width="10.0" style="5"/>
    <col min="8896" max="8896" customWidth="1" bestFit="1" width="10.0" style="5"/>
    <col min="8897" max="8897" customWidth="1" bestFit="1" width="10.0" style="5"/>
    <col min="8898" max="8898" customWidth="1" bestFit="1" width="10.0" style="5"/>
    <col min="8899" max="8899" customWidth="1" bestFit="1" width="10.0" style="5"/>
    <col min="8900" max="8900" customWidth="1" bestFit="1" width="10.0" style="5"/>
    <col min="8901" max="8901" customWidth="1" bestFit="1" width="10.0" style="5"/>
    <col min="8902" max="8902" customWidth="1" bestFit="1" width="10.0" style="5"/>
    <col min="8903" max="8903" customWidth="1" bestFit="1" width="10.0" style="5"/>
    <col min="8904" max="8904" customWidth="1" bestFit="1" width="10.0" style="5"/>
    <col min="8905" max="8905" customWidth="1" bestFit="1" width="10.0" style="5"/>
    <col min="8906" max="8906" customWidth="1" bestFit="1" width="10.0" style="5"/>
    <col min="8907" max="8907" customWidth="1" bestFit="1" width="10.0" style="5"/>
    <col min="8908" max="8908" customWidth="1" bestFit="1" width="10.0" style="5"/>
    <col min="8909" max="8909" customWidth="1" bestFit="1" width="10.0" style="5"/>
    <col min="8910" max="8910" customWidth="1" bestFit="1" width="10.0" style="5"/>
    <col min="8911" max="8911" customWidth="1" bestFit="1" width="10.0" style="5"/>
    <col min="8912" max="8912" customWidth="1" bestFit="1" width="10.0" style="5"/>
    <col min="8913" max="8913" customWidth="1" bestFit="1" width="10.0" style="5"/>
    <col min="8914" max="8914" customWidth="1" bestFit="1" width="10.0" style="5"/>
    <col min="8915" max="8915" customWidth="1" bestFit="1" width="10.0" style="5"/>
    <col min="8916" max="8916" customWidth="1" bestFit="1" width="10.0" style="5"/>
    <col min="8917" max="8917" customWidth="1" bestFit="1" width="10.0" style="5"/>
    <col min="8918" max="8918" customWidth="1" bestFit="1" width="10.0" style="5"/>
    <col min="8919" max="8919" customWidth="1" bestFit="1" width="10.0" style="5"/>
    <col min="8920" max="8920" customWidth="1" bestFit="1" width="10.0" style="5"/>
    <col min="8921" max="8921" customWidth="1" bestFit="1" width="10.0" style="5"/>
    <col min="8922" max="8922" customWidth="1" bestFit="1" width="10.0" style="5"/>
    <col min="8923" max="8923" customWidth="1" bestFit="1" width="10.0" style="5"/>
    <col min="8924" max="8924" customWidth="1" bestFit="1" width="10.0" style="5"/>
    <col min="8925" max="8925" customWidth="1" bestFit="1" width="10.0" style="5"/>
    <col min="8926" max="8926" customWidth="1" bestFit="1" width="10.0" style="5"/>
    <col min="8927" max="8927" customWidth="1" bestFit="1" width="10.0" style="5"/>
    <col min="8928" max="8928" customWidth="1" bestFit="1" width="10.0" style="5"/>
    <col min="8929" max="8929" customWidth="1" bestFit="1" width="10.0" style="5"/>
    <col min="8930" max="8930" customWidth="1" bestFit="1" width="10.0" style="5"/>
    <col min="8931" max="8931" customWidth="1" bestFit="1" width="10.0" style="5"/>
    <col min="8932" max="8932" customWidth="1" bestFit="1" width="10.0" style="5"/>
    <col min="8933" max="8933" customWidth="1" bestFit="1" width="10.0" style="5"/>
    <col min="8934" max="8934" customWidth="1" bestFit="1" width="10.0" style="5"/>
    <col min="8935" max="8935" customWidth="1" bestFit="1" width="10.0" style="5"/>
    <col min="8936" max="8936" customWidth="1" bestFit="1" width="10.0" style="5"/>
    <col min="8937" max="8937" customWidth="1" bestFit="1" width="10.0" style="5"/>
    <col min="8938" max="8938" customWidth="1" bestFit="1" width="10.0" style="5"/>
    <col min="8939" max="8939" customWidth="1" bestFit="1" width="10.0" style="5"/>
    <col min="8940" max="8940" customWidth="1" bestFit="1" width="10.0" style="5"/>
    <col min="8941" max="8941" customWidth="1" bestFit="1" width="10.0" style="5"/>
    <col min="8942" max="8942" customWidth="1" bestFit="1" width="10.0" style="5"/>
    <col min="8943" max="8943" customWidth="1" bestFit="1" width="10.0" style="5"/>
    <col min="8944" max="8944" customWidth="1" bestFit="1" width="10.0" style="5"/>
    <col min="8945" max="8945" customWidth="1" bestFit="1" width="10.0" style="5"/>
    <col min="8946" max="8946" customWidth="1" bestFit="1" width="10.0" style="5"/>
    <col min="8947" max="8947" customWidth="1" bestFit="1" width="10.0" style="5"/>
    <col min="8948" max="8948" customWidth="1" bestFit="1" width="10.0" style="5"/>
    <col min="8949" max="8949" customWidth="1" bestFit="1" width="10.0" style="5"/>
    <col min="8950" max="8950" customWidth="1" bestFit="1" width="10.0" style="5"/>
    <col min="8951" max="8951" customWidth="1" bestFit="1" width="10.0" style="5"/>
    <col min="8952" max="8952" customWidth="1" bestFit="1" width="10.0" style="5"/>
    <col min="8953" max="8953" customWidth="1" bestFit="1" width="10.0" style="5"/>
    <col min="8954" max="8954" customWidth="1" bestFit="1" width="10.0" style="5"/>
    <col min="8955" max="8955" customWidth="1" bestFit="1" width="10.0" style="5"/>
    <col min="8956" max="8956" customWidth="1" bestFit="1" width="10.0" style="5"/>
    <col min="8957" max="8957" customWidth="1" bestFit="1" width="10.0" style="5"/>
    <col min="8958" max="8958" customWidth="1" bestFit="1" width="10.0" style="5"/>
    <col min="8959" max="8959" customWidth="1" bestFit="1" width="10.0" style="5"/>
    <col min="8960" max="8960" customWidth="1" bestFit="1" width="10.0" style="5"/>
    <col min="8961" max="8961" customWidth="1" bestFit="1" width="10.0" style="5"/>
    <col min="8962" max="8962" customWidth="1" bestFit="1" width="10.0" style="5"/>
    <col min="8963" max="8963" customWidth="1" bestFit="1" width="10.0" style="5"/>
    <col min="8964" max="8964" customWidth="1" bestFit="1" width="10.0" style="5"/>
    <col min="8965" max="8965" customWidth="1" bestFit="1" width="10.0" style="5"/>
    <col min="8966" max="8966" customWidth="1" bestFit="1" width="10.0" style="5"/>
    <col min="8967" max="8967" customWidth="1" bestFit="1" width="10.0" style="5"/>
    <col min="8968" max="8968" customWidth="1" bestFit="1" width="10.0" style="5"/>
    <col min="8969" max="8969" customWidth="1" bestFit="1" width="10.0" style="5"/>
    <col min="8970" max="8970" customWidth="1" bestFit="1" width="10.0" style="5"/>
    <col min="8971" max="8971" customWidth="1" bestFit="1" width="10.0" style="5"/>
    <col min="8972" max="8972" customWidth="1" bestFit="1" width="10.0" style="5"/>
    <col min="8973" max="8973" customWidth="1" bestFit="1" width="10.0" style="5"/>
    <col min="8974" max="8974" customWidth="1" bestFit="1" width="10.0" style="5"/>
    <col min="8975" max="8975" customWidth="1" bestFit="1" width="10.0" style="5"/>
    <col min="8976" max="8976" customWidth="1" bestFit="1" width="10.0" style="5"/>
    <col min="8977" max="8977" customWidth="1" bestFit="1" width="10.0" style="5"/>
    <col min="8978" max="8978" customWidth="1" bestFit="1" width="10.0" style="5"/>
    <col min="8979" max="8979" customWidth="1" bestFit="1" width="10.0" style="5"/>
    <col min="8980" max="8980" customWidth="1" bestFit="1" width="10.0" style="5"/>
    <col min="8981" max="8981" customWidth="1" bestFit="1" width="10.0" style="5"/>
    <col min="8982" max="8982" customWidth="1" bestFit="1" width="10.0" style="5"/>
    <col min="8983" max="8983" customWidth="1" bestFit="1" width="10.0" style="5"/>
    <col min="8984" max="8984" customWidth="1" bestFit="1" width="10.0" style="5"/>
    <col min="8985" max="8985" customWidth="1" bestFit="1" width="10.0" style="5"/>
    <col min="8986" max="8986" customWidth="1" bestFit="1" width="10.0" style="5"/>
    <col min="8987" max="8987" customWidth="1" bestFit="1" width="10.0" style="5"/>
    <col min="8988" max="8988" customWidth="1" bestFit="1" width="10.0" style="5"/>
    <col min="8989" max="8989" customWidth="1" bestFit="1" width="10.0" style="5"/>
    <col min="8990" max="8990" customWidth="1" bestFit="1" width="10.0" style="5"/>
    <col min="8991" max="8991" customWidth="1" bestFit="1" width="10.0" style="5"/>
    <col min="8992" max="8992" customWidth="1" bestFit="1" width="10.0" style="5"/>
    <col min="8993" max="8993" customWidth="1" bestFit="1" width="10.0" style="5"/>
    <col min="8994" max="8994" customWidth="1" bestFit="1" width="10.0" style="5"/>
    <col min="8995" max="8995" customWidth="1" bestFit="1" width="10.0" style="5"/>
    <col min="8996" max="8996" customWidth="1" bestFit="1" width="10.0" style="5"/>
    <col min="8997" max="8997" customWidth="1" bestFit="1" width="10.0" style="5"/>
    <col min="8998" max="8998" customWidth="1" bestFit="1" width="10.0" style="5"/>
    <col min="8999" max="8999" customWidth="1" bestFit="1" width="10.0" style="5"/>
    <col min="9000" max="9000" customWidth="1" bestFit="1" width="10.0" style="5"/>
    <col min="9001" max="9001" customWidth="1" bestFit="1" width="10.0" style="5"/>
    <col min="9002" max="9002" customWidth="1" bestFit="1" width="10.0" style="5"/>
    <col min="9003" max="9003" customWidth="1" bestFit="1" width="10.0" style="5"/>
    <col min="9004" max="9004" customWidth="1" bestFit="1" width="10.0" style="5"/>
    <col min="9005" max="9005" customWidth="1" bestFit="1" width="10.0" style="5"/>
    <col min="9006" max="9006" customWidth="1" bestFit="1" width="10.0" style="5"/>
    <col min="9007" max="9007" customWidth="1" bestFit="1" width="10.0" style="5"/>
    <col min="9008" max="9008" customWidth="1" bestFit="1" width="10.0" style="5"/>
    <col min="9009" max="9009" customWidth="1" bestFit="1" width="10.0" style="5"/>
    <col min="9010" max="9010" customWidth="1" bestFit="1" width="10.0" style="5"/>
    <col min="9011" max="9011" customWidth="1" bestFit="1" width="10.0" style="5"/>
    <col min="9012" max="9012" customWidth="1" bestFit="1" width="10.0" style="5"/>
    <col min="9013" max="9013" customWidth="1" bestFit="1" width="10.0" style="5"/>
    <col min="9014" max="9014" customWidth="1" bestFit="1" width="10.0" style="5"/>
    <col min="9015" max="9015" customWidth="1" bestFit="1" width="10.0" style="5"/>
    <col min="9016" max="9016" customWidth="1" bestFit="1" width="10.0" style="5"/>
    <col min="9017" max="9017" customWidth="1" bestFit="1" width="10.0" style="5"/>
    <col min="9018" max="9018" customWidth="1" bestFit="1" width="10.0" style="5"/>
    <col min="9019" max="9019" customWidth="1" bestFit="1" width="10.0" style="5"/>
    <col min="9020" max="9020" customWidth="1" bestFit="1" width="10.0" style="5"/>
    <col min="9021" max="9021" customWidth="1" bestFit="1" width="10.0" style="5"/>
    <col min="9022" max="9022" customWidth="1" bestFit="1" width="10.0" style="5"/>
    <col min="9023" max="9023" customWidth="1" bestFit="1" width="10.0" style="5"/>
    <col min="9024" max="9024" customWidth="1" bestFit="1" width="10.0" style="5"/>
    <col min="9025" max="9025" customWidth="1" bestFit="1" width="10.0" style="5"/>
    <col min="9026" max="9026" customWidth="1" bestFit="1" width="10.0" style="5"/>
    <col min="9027" max="9027" customWidth="1" bestFit="1" width="10.0" style="5"/>
    <col min="9028" max="9028" customWidth="1" bestFit="1" width="10.0" style="5"/>
    <col min="9029" max="9029" customWidth="1" bestFit="1" width="10.0" style="5"/>
    <col min="9030" max="9030" customWidth="1" bestFit="1" width="10.0" style="5"/>
    <col min="9031" max="9031" customWidth="1" bestFit="1" width="10.0" style="5"/>
    <col min="9032" max="9032" customWidth="1" bestFit="1" width="10.0" style="5"/>
    <col min="9033" max="9033" customWidth="1" bestFit="1" width="10.0" style="5"/>
    <col min="9034" max="9034" customWidth="1" bestFit="1" width="10.0" style="5"/>
    <col min="9035" max="9035" customWidth="1" bestFit="1" width="10.0" style="5"/>
    <col min="9036" max="9036" customWidth="1" bestFit="1" width="10.0" style="5"/>
    <col min="9037" max="9037" customWidth="1" bestFit="1" width="10.0" style="5"/>
    <col min="9038" max="9038" customWidth="1" bestFit="1" width="10.0" style="5"/>
    <col min="9039" max="9039" customWidth="1" bestFit="1" width="10.0" style="5"/>
    <col min="9040" max="9040" customWidth="1" bestFit="1" width="10.0" style="5"/>
    <col min="9041" max="9041" customWidth="1" bestFit="1" width="10.0" style="5"/>
    <col min="9042" max="9042" customWidth="1" bestFit="1" width="10.0" style="5"/>
    <col min="9043" max="9043" customWidth="1" bestFit="1" width="10.0" style="5"/>
    <col min="9044" max="9044" customWidth="1" bestFit="1" width="10.0" style="5"/>
    <col min="9045" max="9045" customWidth="1" bestFit="1" width="10.0" style="5"/>
    <col min="9046" max="9046" customWidth="1" bestFit="1" width="10.0" style="5"/>
    <col min="9047" max="9047" customWidth="1" bestFit="1" width="10.0" style="5"/>
    <col min="9048" max="9048" customWidth="1" bestFit="1" width="10.0" style="5"/>
    <col min="9049" max="9049" customWidth="1" bestFit="1" width="10.0" style="5"/>
    <col min="9050" max="9050" customWidth="1" bestFit="1" width="10.0" style="5"/>
    <col min="9051" max="9051" customWidth="1" bestFit="1" width="10.0" style="5"/>
    <col min="9052" max="9052" customWidth="1" bestFit="1" width="10.0" style="5"/>
    <col min="9053" max="9053" customWidth="1" bestFit="1" width="10.0" style="5"/>
    <col min="9054" max="9054" customWidth="1" bestFit="1" width="10.0" style="5"/>
    <col min="9055" max="9055" customWidth="1" bestFit="1" width="10.0" style="5"/>
    <col min="9056" max="9056" customWidth="1" bestFit="1" width="10.0" style="5"/>
    <col min="9057" max="9057" customWidth="1" bestFit="1" width="10.0" style="5"/>
    <col min="9058" max="9058" customWidth="1" bestFit="1" width="10.0" style="5"/>
    <col min="9059" max="9059" customWidth="1" bestFit="1" width="10.0" style="5"/>
    <col min="9060" max="9060" customWidth="1" bestFit="1" width="10.0" style="5"/>
    <col min="9061" max="9061" customWidth="1" bestFit="1" width="10.0" style="5"/>
    <col min="9062" max="9062" customWidth="1" bestFit="1" width="10.0" style="5"/>
    <col min="9063" max="9063" customWidth="1" bestFit="1" width="10.0" style="5"/>
    <col min="9064" max="9064" customWidth="1" bestFit="1" width="10.0" style="5"/>
    <col min="9065" max="9065" customWidth="1" bestFit="1" width="10.0" style="5"/>
    <col min="9066" max="9066" customWidth="1" bestFit="1" width="10.0" style="5"/>
    <col min="9067" max="9067" customWidth="1" bestFit="1" width="10.0" style="5"/>
    <col min="9068" max="9068" customWidth="1" bestFit="1" width="10.0" style="5"/>
    <col min="9069" max="9069" customWidth="1" bestFit="1" width="10.0" style="5"/>
    <col min="9070" max="9070" customWidth="1" bestFit="1" width="10.0" style="5"/>
    <col min="9071" max="9071" customWidth="1" bestFit="1" width="10.0" style="5"/>
    <col min="9072" max="9072" customWidth="1" bestFit="1" width="10.0" style="5"/>
    <col min="9073" max="9073" customWidth="1" bestFit="1" width="10.0" style="5"/>
    <col min="9074" max="9074" customWidth="1" bestFit="1" width="10.0" style="5"/>
    <col min="9075" max="9075" customWidth="1" bestFit="1" width="10.0" style="5"/>
    <col min="9076" max="9076" customWidth="1" bestFit="1" width="10.0" style="5"/>
    <col min="9077" max="9077" customWidth="1" bestFit="1" width="10.0" style="5"/>
    <col min="9078" max="9078" customWidth="1" bestFit="1" width="10.0" style="5"/>
    <col min="9079" max="9079" customWidth="1" bestFit="1" width="10.0" style="5"/>
    <col min="9080" max="9080" customWidth="1" bestFit="1" width="10.0" style="5"/>
    <col min="9081" max="9081" customWidth="1" bestFit="1" width="10.0" style="5"/>
    <col min="9082" max="9082" customWidth="1" bestFit="1" width="10.0" style="5"/>
    <col min="9083" max="9083" customWidth="1" bestFit="1" width="10.0" style="5"/>
    <col min="9084" max="9084" customWidth="1" bestFit="1" width="10.0" style="5"/>
    <col min="9085" max="9085" customWidth="1" bestFit="1" width="10.0" style="5"/>
    <col min="9086" max="9086" customWidth="1" bestFit="1" width="10.0" style="5"/>
    <col min="9087" max="9087" customWidth="1" bestFit="1" width="10.0" style="5"/>
    <col min="9088" max="9088" customWidth="1" bestFit="1" width="10.0" style="5"/>
    <col min="9089" max="9089" customWidth="1" bestFit="1" width="10.0" style="5"/>
    <col min="9090" max="9090" customWidth="1" bestFit="1" width="10.0" style="5"/>
    <col min="9091" max="9091" customWidth="1" bestFit="1" width="10.0" style="5"/>
    <col min="9092" max="9092" customWidth="1" bestFit="1" width="10.0" style="5"/>
    <col min="9093" max="9093" customWidth="1" bestFit="1" width="10.0" style="5"/>
    <col min="9094" max="9094" customWidth="1" bestFit="1" width="10.0" style="5"/>
    <col min="9095" max="9095" customWidth="1" bestFit="1" width="10.0" style="5"/>
    <col min="9096" max="9096" customWidth="1" bestFit="1" width="10.0" style="5"/>
    <col min="9097" max="9097" customWidth="1" bestFit="1" width="10.0" style="5"/>
    <col min="9098" max="9098" customWidth="1" bestFit="1" width="10.0" style="5"/>
    <col min="9099" max="9099" customWidth="1" bestFit="1" width="10.0" style="5"/>
    <col min="9100" max="9100" customWidth="1" bestFit="1" width="10.0" style="5"/>
    <col min="9101" max="9101" customWidth="1" bestFit="1" width="10.0" style="5"/>
    <col min="9102" max="9102" customWidth="1" bestFit="1" width="10.0" style="5"/>
    <col min="9103" max="9103" customWidth="1" bestFit="1" width="10.0" style="5"/>
    <col min="9104" max="9104" customWidth="1" bestFit="1" width="10.0" style="5"/>
    <col min="9105" max="9105" customWidth="1" bestFit="1" width="10.0" style="5"/>
    <col min="9106" max="9106" customWidth="1" bestFit="1" width="10.0" style="5"/>
    <col min="9107" max="9107" customWidth="1" bestFit="1" width="10.0" style="5"/>
    <col min="9108" max="9108" customWidth="1" bestFit="1" width="10.0" style="5"/>
    <col min="9109" max="9109" customWidth="1" bestFit="1" width="10.0" style="5"/>
    <col min="9110" max="9110" customWidth="1" bestFit="1" width="10.0" style="5"/>
    <col min="9111" max="9111" customWidth="1" bestFit="1" width="10.0" style="5"/>
    <col min="9112" max="9112" customWidth="1" bestFit="1" width="10.0" style="5"/>
    <col min="9113" max="9113" customWidth="1" bestFit="1" width="10.0" style="5"/>
    <col min="9114" max="9114" customWidth="1" bestFit="1" width="10.0" style="5"/>
    <col min="9115" max="9115" customWidth="1" bestFit="1" width="10.0" style="5"/>
    <col min="9116" max="9116" customWidth="1" bestFit="1" width="10.0" style="5"/>
    <col min="9117" max="9117" customWidth="1" bestFit="1" width="10.0" style="5"/>
    <col min="9118" max="9118" customWidth="1" bestFit="1" width="10.0" style="5"/>
    <col min="9119" max="9119" customWidth="1" bestFit="1" width="10.0" style="5"/>
    <col min="9120" max="9120" customWidth="1" bestFit="1" width="10.0" style="5"/>
    <col min="9121" max="9121" customWidth="1" bestFit="1" width="10.0" style="5"/>
    <col min="9122" max="9122" customWidth="1" bestFit="1" width="10.0" style="5"/>
    <col min="9123" max="9123" customWidth="1" bestFit="1" width="10.0" style="5"/>
    <col min="9124" max="9124" customWidth="1" bestFit="1" width="10.0" style="5"/>
    <col min="9125" max="9125" customWidth="1" bestFit="1" width="10.0" style="5"/>
    <col min="9126" max="9126" customWidth="1" bestFit="1" width="10.0" style="5"/>
    <col min="9127" max="9127" customWidth="1" bestFit="1" width="10.0" style="5"/>
    <col min="9128" max="9128" customWidth="1" bestFit="1" width="10.0" style="5"/>
    <col min="9129" max="9129" customWidth="1" bestFit="1" width="10.0" style="5"/>
    <col min="9130" max="9130" customWidth="1" bestFit="1" width="10.0" style="5"/>
    <col min="9131" max="9131" customWidth="1" bestFit="1" width="10.0" style="5"/>
    <col min="9132" max="9132" customWidth="1" bestFit="1" width="10.0" style="5"/>
    <col min="9133" max="9133" customWidth="1" bestFit="1" width="10.0" style="5"/>
    <col min="9134" max="9134" customWidth="1" bestFit="1" width="10.0" style="5"/>
    <col min="9135" max="9135" customWidth="1" bestFit="1" width="10.0" style="5"/>
    <col min="9136" max="9136" customWidth="1" bestFit="1" width="10.0" style="5"/>
    <col min="9137" max="9137" customWidth="1" bestFit="1" width="10.0" style="5"/>
    <col min="9138" max="9138" customWidth="1" bestFit="1" width="10.0" style="5"/>
    <col min="9139" max="9139" customWidth="1" bestFit="1" width="10.0" style="5"/>
    <col min="9140" max="9140" customWidth="1" bestFit="1" width="10.0" style="5"/>
    <col min="9141" max="9141" customWidth="1" bestFit="1" width="10.0" style="5"/>
    <col min="9142" max="9142" customWidth="1" bestFit="1" width="10.0" style="5"/>
    <col min="9143" max="9143" customWidth="1" bestFit="1" width="10.0" style="5"/>
    <col min="9144" max="9144" customWidth="1" bestFit="1" width="10.0" style="5"/>
    <col min="9145" max="9145" customWidth="1" bestFit="1" width="10.0" style="5"/>
    <col min="9146" max="9146" customWidth="1" bestFit="1" width="10.0" style="5"/>
    <col min="9147" max="9147" customWidth="1" bestFit="1" width="10.0" style="5"/>
    <col min="9148" max="9148" customWidth="1" bestFit="1" width="10.0" style="5"/>
    <col min="9149" max="9149" customWidth="1" bestFit="1" width="10.0" style="5"/>
    <col min="9150" max="9150" customWidth="1" bestFit="1" width="10.0" style="5"/>
    <col min="9151" max="9151" customWidth="1" bestFit="1" width="10.0" style="5"/>
    <col min="9152" max="9152" customWidth="1" bestFit="1" width="10.0" style="5"/>
    <col min="9153" max="9153" customWidth="1" bestFit="1" width="10.0" style="5"/>
    <col min="9154" max="9154" customWidth="1" bestFit="1" width="10.0" style="5"/>
    <col min="9155" max="9155" customWidth="1" bestFit="1" width="10.0" style="5"/>
    <col min="9156" max="9156" customWidth="1" bestFit="1" width="10.0" style="5"/>
    <col min="9157" max="9157" customWidth="1" bestFit="1" width="10.0" style="5"/>
    <col min="9158" max="9158" customWidth="1" bestFit="1" width="10.0" style="5"/>
    <col min="9159" max="9159" customWidth="1" bestFit="1" width="10.0" style="5"/>
    <col min="9160" max="9160" customWidth="1" bestFit="1" width="10.0" style="5"/>
    <col min="9161" max="9161" customWidth="1" bestFit="1" width="10.0" style="5"/>
    <col min="9162" max="9162" customWidth="1" bestFit="1" width="10.0" style="5"/>
    <col min="9163" max="9163" customWidth="1" bestFit="1" width="10.0" style="5"/>
    <col min="9164" max="9164" customWidth="1" bestFit="1" width="10.0" style="5"/>
    <col min="9165" max="9165" customWidth="1" bestFit="1" width="10.0" style="5"/>
    <col min="9166" max="9166" customWidth="1" bestFit="1" width="10.0" style="5"/>
    <col min="9167" max="9167" customWidth="1" bestFit="1" width="10.0" style="5"/>
    <col min="9168" max="9168" customWidth="1" bestFit="1" width="10.0" style="5"/>
    <col min="9169" max="9169" customWidth="1" bestFit="1" width="10.0" style="5"/>
    <col min="9170" max="9170" customWidth="1" bestFit="1" width="10.0" style="5"/>
    <col min="9171" max="9171" customWidth="1" bestFit="1" width="10.0" style="5"/>
    <col min="9172" max="9172" customWidth="1" bestFit="1" width="10.0" style="5"/>
    <col min="9173" max="9173" customWidth="1" bestFit="1" width="10.0" style="5"/>
    <col min="9174" max="9174" customWidth="1" bestFit="1" width="10.0" style="5"/>
    <col min="9175" max="9175" customWidth="1" bestFit="1" width="10.0" style="5"/>
    <col min="9176" max="9176" customWidth="1" bestFit="1" width="10.0" style="5"/>
    <col min="9177" max="9177" customWidth="1" bestFit="1" width="10.0" style="5"/>
    <col min="9178" max="9178" customWidth="1" bestFit="1" width="10.0" style="5"/>
    <col min="9179" max="9179" customWidth="1" bestFit="1" width="10.0" style="5"/>
    <col min="9180" max="9180" customWidth="1" bestFit="1" width="10.0" style="5"/>
    <col min="9181" max="9181" customWidth="1" bestFit="1" width="10.0" style="5"/>
    <col min="9182" max="9182" customWidth="1" bestFit="1" width="10.0" style="5"/>
    <col min="9183" max="9183" customWidth="1" bestFit="1" width="10.0" style="5"/>
    <col min="9184" max="9184" customWidth="1" bestFit="1" width="10.0" style="5"/>
    <col min="9185" max="9185" customWidth="1" bestFit="1" width="10.0" style="5"/>
    <col min="9186" max="9186" customWidth="1" bestFit="1" width="10.0" style="5"/>
    <col min="9187" max="9187" customWidth="1" bestFit="1" width="10.0" style="5"/>
    <col min="9188" max="9188" customWidth="1" bestFit="1" width="10.0" style="5"/>
    <col min="9189" max="9189" customWidth="1" bestFit="1" width="10.0" style="5"/>
    <col min="9190" max="9190" customWidth="1" bestFit="1" width="10.0" style="5"/>
    <col min="9191" max="9191" customWidth="1" bestFit="1" width="10.0" style="5"/>
    <col min="9192" max="9192" customWidth="1" bestFit="1" width="10.0" style="5"/>
    <col min="9193" max="9193" customWidth="1" bestFit="1" width="10.0" style="5"/>
    <col min="9194" max="9194" customWidth="1" bestFit="1" width="10.0" style="5"/>
    <col min="9195" max="9195" customWidth="1" bestFit="1" width="10.0" style="5"/>
    <col min="9196" max="9196" customWidth="1" bestFit="1" width="10.0" style="5"/>
    <col min="9197" max="9197" customWidth="1" bestFit="1" width="10.0" style="5"/>
    <col min="9198" max="9198" customWidth="1" bestFit="1" width="10.0" style="5"/>
    <col min="9199" max="9199" customWidth="1" bestFit="1" width="10.0" style="5"/>
    <col min="9200" max="9200" customWidth="1" bestFit="1" width="10.0" style="5"/>
    <col min="9201" max="9201" customWidth="1" bestFit="1" width="10.0" style="5"/>
    <col min="9202" max="9202" customWidth="1" bestFit="1" width="10.0" style="5"/>
    <col min="9203" max="9203" customWidth="1" bestFit="1" width="10.0" style="5"/>
    <col min="9204" max="9204" customWidth="1" bestFit="1" width="10.0" style="5"/>
    <col min="9205" max="9205" customWidth="1" bestFit="1" width="10.0" style="5"/>
    <col min="9206" max="9206" customWidth="1" bestFit="1" width="10.0" style="5"/>
    <col min="9207" max="9207" customWidth="1" bestFit="1" width="10.0" style="5"/>
    <col min="9208" max="9208" customWidth="1" bestFit="1" width="10.0" style="5"/>
    <col min="9209" max="9209" customWidth="1" bestFit="1" width="10.0" style="5"/>
    <col min="9210" max="9210" customWidth="1" bestFit="1" width="10.0" style="5"/>
    <col min="9211" max="9211" customWidth="1" bestFit="1" width="10.0" style="5"/>
    <col min="9212" max="9212" customWidth="1" bestFit="1" width="10.0" style="5"/>
    <col min="9213" max="9213" customWidth="1" bestFit="1" width="10.0" style="5"/>
    <col min="9214" max="9214" customWidth="1" bestFit="1" width="10.0" style="5"/>
    <col min="9215" max="9215" customWidth="1" bestFit="1" width="10.0" style="5"/>
    <col min="9216" max="9216" customWidth="1" bestFit="1" width="10.0" style="5"/>
    <col min="9217" max="9217" customWidth="1" bestFit="1" width="10.0" style="5"/>
    <col min="9218" max="9218" customWidth="1" bestFit="1" width="10.0" style="5"/>
    <col min="9219" max="9219" customWidth="1" bestFit="1" width="10.0" style="5"/>
    <col min="9220" max="9220" customWidth="1" bestFit="1" width="10.0" style="5"/>
    <col min="9221" max="9221" customWidth="1" bestFit="1" width="10.0" style="5"/>
    <col min="9222" max="9222" customWidth="1" bestFit="1" width="10.0" style="5"/>
    <col min="9223" max="9223" customWidth="1" bestFit="1" width="10.0" style="5"/>
    <col min="9224" max="9224" customWidth="1" bestFit="1" width="10.0" style="5"/>
    <col min="9225" max="9225" customWidth="1" bestFit="1" width="10.0" style="5"/>
    <col min="9226" max="9226" customWidth="1" bestFit="1" width="10.0" style="5"/>
    <col min="9227" max="9227" customWidth="1" bestFit="1" width="10.0" style="5"/>
    <col min="9228" max="9228" customWidth="1" bestFit="1" width="10.0" style="5"/>
    <col min="9229" max="9229" customWidth="1" bestFit="1" width="10.0" style="5"/>
    <col min="9230" max="9230" customWidth="1" bestFit="1" width="10.0" style="5"/>
    <col min="9231" max="9231" customWidth="1" bestFit="1" width="10.0" style="5"/>
    <col min="9232" max="9232" customWidth="1" bestFit="1" width="10.0" style="5"/>
    <col min="9233" max="9233" customWidth="1" bestFit="1" width="10.0" style="5"/>
    <col min="9234" max="9234" customWidth="1" bestFit="1" width="10.0" style="5"/>
    <col min="9235" max="9235" customWidth="1" bestFit="1" width="10.0" style="5"/>
    <col min="9236" max="9236" customWidth="1" bestFit="1" width="10.0" style="5"/>
    <col min="9237" max="9237" customWidth="1" bestFit="1" width="10.0" style="5"/>
    <col min="9238" max="9238" customWidth="1" bestFit="1" width="10.0" style="5"/>
    <col min="9239" max="9239" customWidth="1" bestFit="1" width="10.0" style="5"/>
    <col min="9240" max="9240" customWidth="1" bestFit="1" width="10.0" style="5"/>
    <col min="9241" max="9241" customWidth="1" bestFit="1" width="10.0" style="5"/>
    <col min="9242" max="9242" customWidth="1" bestFit="1" width="10.0" style="5"/>
    <col min="9243" max="9243" customWidth="1" bestFit="1" width="10.0" style="5"/>
    <col min="9244" max="9244" customWidth="1" bestFit="1" width="10.0" style="5"/>
    <col min="9245" max="9245" customWidth="1" bestFit="1" width="10.0" style="5"/>
    <col min="9246" max="9246" customWidth="1" bestFit="1" width="10.0" style="5"/>
    <col min="9247" max="9247" customWidth="1" bestFit="1" width="10.0" style="5"/>
    <col min="9248" max="9248" customWidth="1" bestFit="1" width="10.0" style="5"/>
    <col min="9249" max="9249" customWidth="1" bestFit="1" width="10.0" style="5"/>
    <col min="9250" max="9250" customWidth="1" bestFit="1" width="10.0" style="5"/>
    <col min="9251" max="9251" customWidth="1" bestFit="1" width="10.0" style="5"/>
    <col min="9252" max="9252" customWidth="1" bestFit="1" width="10.0" style="5"/>
    <col min="9253" max="9253" customWidth="1" bestFit="1" width="10.0" style="5"/>
    <col min="9254" max="9254" customWidth="1" bestFit="1" width="10.0" style="5"/>
    <col min="9255" max="9255" customWidth="1" bestFit="1" width="10.0" style="5"/>
    <col min="9256" max="9256" customWidth="1" bestFit="1" width="10.0" style="5"/>
    <col min="9257" max="9257" customWidth="1" bestFit="1" width="10.0" style="5"/>
    <col min="9258" max="9258" customWidth="1" bestFit="1" width="10.0" style="5"/>
    <col min="9259" max="9259" customWidth="1" bestFit="1" width="10.0" style="5"/>
    <col min="9260" max="9260" customWidth="1" bestFit="1" width="10.0" style="5"/>
    <col min="9261" max="9261" customWidth="1" bestFit="1" width="10.0" style="5"/>
    <col min="9262" max="9262" customWidth="1" bestFit="1" width="10.0" style="5"/>
    <col min="9263" max="9263" customWidth="1" bestFit="1" width="10.0" style="5"/>
    <col min="9264" max="9264" customWidth="1" bestFit="1" width="10.0" style="5"/>
    <col min="9265" max="9265" customWidth="1" bestFit="1" width="10.0" style="5"/>
    <col min="9266" max="9266" customWidth="1" bestFit="1" width="10.0" style="5"/>
    <col min="9267" max="9267" customWidth="1" bestFit="1" width="10.0" style="5"/>
    <col min="9268" max="9268" customWidth="1" bestFit="1" width="10.0" style="5"/>
    <col min="9269" max="9269" customWidth="1" bestFit="1" width="10.0" style="5"/>
    <col min="9270" max="9270" customWidth="1" bestFit="1" width="10.0" style="5"/>
    <col min="9271" max="9271" customWidth="1" bestFit="1" width="10.0" style="5"/>
    <col min="9272" max="9272" customWidth="1" bestFit="1" width="10.0" style="5"/>
    <col min="9273" max="9273" customWidth="1" bestFit="1" width="10.0" style="5"/>
    <col min="9274" max="9274" customWidth="1" bestFit="1" width="10.0" style="5"/>
    <col min="9275" max="9275" customWidth="1" bestFit="1" width="10.0" style="5"/>
    <col min="9276" max="9276" customWidth="1" bestFit="1" width="10.0" style="5"/>
    <col min="9277" max="9277" customWidth="1" bestFit="1" width="10.0" style="5"/>
    <col min="9278" max="9278" customWidth="1" bestFit="1" width="10.0" style="5"/>
    <col min="9279" max="9279" customWidth="1" bestFit="1" width="10.0" style="5"/>
    <col min="9280" max="9280" customWidth="1" bestFit="1" width="10.0" style="5"/>
    <col min="9281" max="9281" customWidth="1" bestFit="1" width="10.0" style="5"/>
    <col min="9282" max="9282" customWidth="1" bestFit="1" width="10.0" style="5"/>
    <col min="9283" max="9283" customWidth="1" bestFit="1" width="10.0" style="5"/>
    <col min="9284" max="9284" customWidth="1" bestFit="1" width="10.0" style="5"/>
    <col min="9285" max="9285" customWidth="1" bestFit="1" width="10.0" style="5"/>
    <col min="9286" max="9286" customWidth="1" bestFit="1" width="10.0" style="5"/>
    <col min="9287" max="9287" customWidth="1" bestFit="1" width="10.0" style="5"/>
    <col min="9288" max="9288" customWidth="1" bestFit="1" width="10.0" style="5"/>
    <col min="9289" max="9289" customWidth="1" bestFit="1" width="10.0" style="5"/>
    <col min="9290" max="9290" customWidth="1" bestFit="1" width="10.0" style="5"/>
    <col min="9291" max="9291" customWidth="1" bestFit="1" width="10.0" style="5"/>
    <col min="9292" max="9292" customWidth="1" bestFit="1" width="10.0" style="5"/>
    <col min="9293" max="9293" customWidth="1" bestFit="1" width="10.0" style="5"/>
    <col min="9294" max="9294" customWidth="1" bestFit="1" width="10.0" style="5"/>
    <col min="9295" max="9295" customWidth="1" bestFit="1" width="10.0" style="5"/>
    <col min="9296" max="9296" customWidth="1" bestFit="1" width="10.0" style="5"/>
    <col min="9297" max="9297" customWidth="1" bestFit="1" width="10.0" style="5"/>
    <col min="9298" max="9298" customWidth="1" bestFit="1" width="10.0" style="5"/>
    <col min="9299" max="9299" customWidth="1" bestFit="1" width="10.0" style="5"/>
    <col min="9300" max="9300" customWidth="1" bestFit="1" width="10.0" style="5"/>
    <col min="9301" max="9301" customWidth="1" bestFit="1" width="10.0" style="5"/>
    <col min="9302" max="9302" customWidth="1" bestFit="1" width="10.0" style="5"/>
    <col min="9303" max="9303" customWidth="1" bestFit="1" width="10.0" style="5"/>
    <col min="9304" max="9304" customWidth="1" bestFit="1" width="10.0" style="5"/>
    <col min="9305" max="9305" customWidth="1" bestFit="1" width="10.0" style="5"/>
    <col min="9306" max="9306" customWidth="1" bestFit="1" width="10.0" style="5"/>
    <col min="9307" max="9307" customWidth="1" bestFit="1" width="10.0" style="5"/>
    <col min="9308" max="9308" customWidth="1" bestFit="1" width="10.0" style="5"/>
    <col min="9309" max="9309" customWidth="1" bestFit="1" width="10.0" style="5"/>
    <col min="9310" max="9310" customWidth="1" bestFit="1" width="10.0" style="5"/>
    <col min="9311" max="9311" customWidth="1" bestFit="1" width="10.0" style="5"/>
    <col min="9312" max="9312" customWidth="1" bestFit="1" width="10.0" style="5"/>
    <col min="9313" max="9313" customWidth="1" bestFit="1" width="10.0" style="5"/>
    <col min="9314" max="9314" customWidth="1" bestFit="1" width="10.0" style="5"/>
    <col min="9315" max="9315" customWidth="1" bestFit="1" width="10.0" style="5"/>
    <col min="9316" max="9316" customWidth="1" bestFit="1" width="10.0" style="5"/>
    <col min="9317" max="9317" customWidth="1" bestFit="1" width="10.0" style="5"/>
    <col min="9318" max="9318" customWidth="1" bestFit="1" width="10.0" style="5"/>
    <col min="9319" max="9319" customWidth="1" bestFit="1" width="10.0" style="5"/>
    <col min="9320" max="9320" customWidth="1" bestFit="1" width="10.0" style="5"/>
    <col min="9321" max="9321" customWidth="1" bestFit="1" width="10.0" style="5"/>
    <col min="9322" max="9322" customWidth="1" bestFit="1" width="10.0" style="5"/>
    <col min="9323" max="9323" customWidth="1" bestFit="1" width="10.0" style="5"/>
    <col min="9324" max="9324" customWidth="1" bestFit="1" width="10.0" style="5"/>
    <col min="9325" max="9325" customWidth="1" bestFit="1" width="10.0" style="5"/>
    <col min="9326" max="9326" customWidth="1" bestFit="1" width="10.0" style="5"/>
    <col min="9327" max="9327" customWidth="1" bestFit="1" width="10.0" style="5"/>
    <col min="9328" max="9328" customWidth="1" bestFit="1" width="10.0" style="5"/>
    <col min="9329" max="9329" customWidth="1" bestFit="1" width="10.0" style="5"/>
    <col min="9330" max="9330" customWidth="1" bestFit="1" width="10.0" style="5"/>
    <col min="9331" max="9331" customWidth="1" bestFit="1" width="10.0" style="5"/>
    <col min="9332" max="9332" customWidth="1" bestFit="1" width="10.0" style="5"/>
    <col min="9333" max="9333" customWidth="1" bestFit="1" width="10.0" style="5"/>
    <col min="9334" max="9334" customWidth="1" bestFit="1" width="10.0" style="5"/>
    <col min="9335" max="9335" customWidth="1" bestFit="1" width="10.0" style="5"/>
    <col min="9336" max="9336" customWidth="1" bestFit="1" width="10.0" style="5"/>
    <col min="9337" max="9337" customWidth="1" bestFit="1" width="10.0" style="5"/>
    <col min="9338" max="9338" customWidth="1" bestFit="1" width="10.0" style="5"/>
    <col min="9339" max="9339" customWidth="1" bestFit="1" width="10.0" style="5"/>
    <col min="9340" max="9340" customWidth="1" bestFit="1" width="10.0" style="5"/>
    <col min="9341" max="9341" customWidth="1" bestFit="1" width="10.0" style="5"/>
    <col min="9342" max="9342" customWidth="1" bestFit="1" width="10.0" style="5"/>
    <col min="9343" max="9343" customWidth="1" bestFit="1" width="10.0" style="5"/>
    <col min="9344" max="9344" customWidth="1" bestFit="1" width="10.0" style="5"/>
    <col min="9345" max="9345" customWidth="1" bestFit="1" width="10.0" style="5"/>
    <col min="9346" max="9346" customWidth="1" bestFit="1" width="10.0" style="5"/>
    <col min="9347" max="9347" customWidth="1" bestFit="1" width="10.0" style="5"/>
    <col min="9348" max="9348" customWidth="1" bestFit="1" width="10.0" style="5"/>
    <col min="9349" max="9349" customWidth="1" bestFit="1" width="10.0" style="5"/>
    <col min="9350" max="9350" customWidth="1" bestFit="1" width="10.0" style="5"/>
    <col min="9351" max="9351" customWidth="1" bestFit="1" width="10.0" style="5"/>
    <col min="9352" max="9352" customWidth="1" bestFit="1" width="10.0" style="5"/>
    <col min="9353" max="9353" customWidth="1" bestFit="1" width="10.0" style="5"/>
    <col min="9354" max="9354" customWidth="1" bestFit="1" width="10.0" style="5"/>
    <col min="9355" max="9355" customWidth="1" bestFit="1" width="10.0" style="5"/>
    <col min="9356" max="9356" customWidth="1" bestFit="1" width="10.0" style="5"/>
    <col min="9357" max="9357" customWidth="1" bestFit="1" width="10.0" style="5"/>
    <col min="9358" max="9358" customWidth="1" bestFit="1" width="10.0" style="5"/>
    <col min="9359" max="9359" customWidth="1" bestFit="1" width="10.0" style="5"/>
    <col min="9360" max="9360" customWidth="1" bestFit="1" width="10.0" style="5"/>
    <col min="9361" max="9361" customWidth="1" bestFit="1" width="10.0" style="5"/>
    <col min="9362" max="9362" customWidth="1" bestFit="1" width="10.0" style="5"/>
    <col min="9363" max="9363" customWidth="1" bestFit="1" width="10.0" style="5"/>
    <col min="9364" max="9364" customWidth="1" bestFit="1" width="10.0" style="5"/>
    <col min="9365" max="9365" customWidth="1" bestFit="1" width="10.0" style="5"/>
    <col min="9366" max="9366" customWidth="1" bestFit="1" width="10.0" style="5"/>
    <col min="9367" max="9367" customWidth="1" bestFit="1" width="10.0" style="5"/>
    <col min="9368" max="9368" customWidth="1" bestFit="1" width="10.0" style="5"/>
    <col min="9369" max="9369" customWidth="1" bestFit="1" width="10.0" style="5"/>
    <col min="9370" max="9370" customWidth="1" bestFit="1" width="10.0" style="5"/>
    <col min="9371" max="9371" customWidth="1" bestFit="1" width="10.0" style="5"/>
    <col min="9372" max="9372" customWidth="1" bestFit="1" width="10.0" style="5"/>
    <col min="9373" max="9373" customWidth="1" bestFit="1" width="10.0" style="5"/>
    <col min="9374" max="9374" customWidth="1" bestFit="1" width="10.0" style="5"/>
    <col min="9375" max="9375" customWidth="1" bestFit="1" width="10.0" style="5"/>
    <col min="9376" max="9376" customWidth="1" bestFit="1" width="10.0" style="5"/>
    <col min="9377" max="9377" customWidth="1" bestFit="1" width="10.0" style="5"/>
    <col min="9378" max="9378" customWidth="1" bestFit="1" width="10.0" style="5"/>
    <col min="9379" max="9379" customWidth="1" bestFit="1" width="10.0" style="5"/>
    <col min="9380" max="9380" customWidth="1" bestFit="1" width="10.0" style="5"/>
    <col min="9381" max="9381" customWidth="1" bestFit="1" width="10.0" style="5"/>
    <col min="9382" max="9382" customWidth="1" bestFit="1" width="10.0" style="5"/>
    <col min="9383" max="9383" customWidth="1" bestFit="1" width="10.0" style="5"/>
    <col min="9384" max="9384" customWidth="1" bestFit="1" width="10.0" style="5"/>
    <col min="9385" max="9385" customWidth="1" bestFit="1" width="10.0" style="5"/>
    <col min="9386" max="9386" customWidth="1" bestFit="1" width="10.0" style="5"/>
    <col min="9387" max="9387" customWidth="1" bestFit="1" width="10.0" style="5"/>
    <col min="9388" max="9388" customWidth="1" bestFit="1" width="10.0" style="5"/>
    <col min="9389" max="9389" customWidth="1" bestFit="1" width="10.0" style="5"/>
    <col min="9390" max="9390" customWidth="1" bestFit="1" width="10.0" style="5"/>
    <col min="9391" max="9391" customWidth="1" bestFit="1" width="10.0" style="5"/>
    <col min="9392" max="9392" customWidth="1" bestFit="1" width="10.0" style="5"/>
    <col min="9393" max="9393" customWidth="1" bestFit="1" width="10.0" style="5"/>
    <col min="9394" max="9394" customWidth="1" bestFit="1" width="10.0" style="5"/>
    <col min="9395" max="9395" customWidth="1" bestFit="1" width="10.0" style="5"/>
    <col min="9396" max="9396" customWidth="1" bestFit="1" width="10.0" style="5"/>
    <col min="9397" max="9397" customWidth="1" bestFit="1" width="10.0" style="5"/>
    <col min="9398" max="9398" customWidth="1" bestFit="1" width="10.0" style="5"/>
    <col min="9399" max="9399" customWidth="1" bestFit="1" width="10.0" style="5"/>
    <col min="9400" max="9400" customWidth="1" bestFit="1" width="10.0" style="5"/>
    <col min="9401" max="9401" customWidth="1" bestFit="1" width="10.0" style="5"/>
    <col min="9402" max="9402" customWidth="1" bestFit="1" width="10.0" style="5"/>
    <col min="9403" max="9403" customWidth="1" bestFit="1" width="10.0" style="5"/>
    <col min="9404" max="9404" customWidth="1" bestFit="1" width="10.0" style="5"/>
    <col min="9405" max="9405" customWidth="1" bestFit="1" width="10.0" style="5"/>
    <col min="9406" max="9406" customWidth="1" bestFit="1" width="10.0" style="5"/>
    <col min="9407" max="9407" customWidth="1" bestFit="1" width="10.0" style="5"/>
    <col min="9408" max="9408" customWidth="1" bestFit="1" width="10.0" style="5"/>
    <col min="9409" max="9409" customWidth="1" bestFit="1" width="10.0" style="5"/>
    <col min="9410" max="9410" customWidth="1" bestFit="1" width="10.0" style="5"/>
    <col min="9411" max="9411" customWidth="1" bestFit="1" width="10.0" style="5"/>
    <col min="9412" max="9412" customWidth="1" bestFit="1" width="10.0" style="5"/>
    <col min="9413" max="9413" customWidth="1" bestFit="1" width="10.0" style="5"/>
    <col min="9414" max="9414" customWidth="1" bestFit="1" width="10.0" style="5"/>
    <col min="9415" max="9415" customWidth="1" bestFit="1" width="10.0" style="5"/>
    <col min="9416" max="9416" customWidth="1" bestFit="1" width="10.0" style="5"/>
    <col min="9417" max="9417" customWidth="1" bestFit="1" width="10.0" style="5"/>
    <col min="9418" max="9418" customWidth="1" bestFit="1" width="10.0" style="5"/>
    <col min="9419" max="9419" customWidth="1" bestFit="1" width="10.0" style="5"/>
    <col min="9420" max="9420" customWidth="1" bestFit="1" width="10.0" style="5"/>
    <col min="9421" max="9421" customWidth="1" bestFit="1" width="10.0" style="5"/>
    <col min="9422" max="9422" customWidth="1" bestFit="1" width="10.0" style="5"/>
    <col min="9423" max="9423" customWidth="1" bestFit="1" width="10.0" style="5"/>
    <col min="9424" max="9424" customWidth="1" bestFit="1" width="10.0" style="5"/>
    <col min="9425" max="9425" customWidth="1" bestFit="1" width="10.0" style="5"/>
    <col min="9426" max="9426" customWidth="1" bestFit="1" width="10.0" style="5"/>
    <col min="9427" max="9427" customWidth="1" bestFit="1" width="10.0" style="5"/>
    <col min="9428" max="9428" customWidth="1" bestFit="1" width="10.0" style="5"/>
    <col min="9429" max="9429" customWidth="1" bestFit="1" width="10.0" style="5"/>
    <col min="9430" max="9430" customWidth="1" bestFit="1" width="10.0" style="5"/>
    <col min="9431" max="9431" customWidth="1" bestFit="1" width="10.0" style="5"/>
    <col min="9432" max="9432" customWidth="1" bestFit="1" width="10.0" style="5"/>
    <col min="9433" max="9433" customWidth="1" bestFit="1" width="10.0" style="5"/>
    <col min="9434" max="9434" customWidth="1" bestFit="1" width="10.0" style="5"/>
    <col min="9435" max="9435" customWidth="1" bestFit="1" width="10.0" style="5"/>
    <col min="9436" max="9436" customWidth="1" bestFit="1" width="10.0" style="5"/>
    <col min="9437" max="9437" customWidth="1" bestFit="1" width="10.0" style="5"/>
    <col min="9438" max="9438" customWidth="1" bestFit="1" width="10.0" style="5"/>
    <col min="9439" max="9439" customWidth="1" bestFit="1" width="10.0" style="5"/>
    <col min="9440" max="9440" customWidth="1" bestFit="1" width="10.0" style="5"/>
    <col min="9441" max="9441" customWidth="1" bestFit="1" width="10.0" style="5"/>
    <col min="9442" max="9442" customWidth="1" bestFit="1" width="10.0" style="5"/>
    <col min="9443" max="9443" customWidth="1" bestFit="1" width="10.0" style="5"/>
    <col min="9444" max="9444" customWidth="1" bestFit="1" width="10.0" style="5"/>
    <col min="9445" max="9445" customWidth="1" bestFit="1" width="10.0" style="5"/>
    <col min="9446" max="9446" customWidth="1" bestFit="1" width="10.0" style="5"/>
    <col min="9447" max="9447" customWidth="1" bestFit="1" width="10.0" style="5"/>
    <col min="9448" max="9448" customWidth="1" bestFit="1" width="10.0" style="5"/>
    <col min="9449" max="9449" customWidth="1" bestFit="1" width="10.0" style="5"/>
    <col min="9450" max="9450" customWidth="1" bestFit="1" width="10.0" style="5"/>
    <col min="9451" max="9451" customWidth="1" bestFit="1" width="10.0" style="5"/>
    <col min="9452" max="9452" customWidth="1" bestFit="1" width="10.0" style="5"/>
    <col min="9453" max="9453" customWidth="1" bestFit="1" width="10.0" style="5"/>
    <col min="9454" max="9454" customWidth="1" bestFit="1" width="10.0" style="5"/>
    <col min="9455" max="9455" customWidth="1" bestFit="1" width="10.0" style="5"/>
    <col min="9456" max="9456" customWidth="1" bestFit="1" width="10.0" style="5"/>
    <col min="9457" max="9457" customWidth="1" bestFit="1" width="10.0" style="5"/>
    <col min="9458" max="9458" customWidth="1" bestFit="1" width="10.0" style="5"/>
    <col min="9459" max="9459" customWidth="1" bestFit="1" width="10.0" style="5"/>
    <col min="9460" max="9460" customWidth="1" bestFit="1" width="10.0" style="5"/>
    <col min="9461" max="9461" customWidth="1" bestFit="1" width="10.0" style="5"/>
    <col min="9462" max="9462" customWidth="1" bestFit="1" width="10.0" style="5"/>
    <col min="9463" max="9463" customWidth="1" bestFit="1" width="10.0" style="5"/>
    <col min="9464" max="9464" customWidth="1" bestFit="1" width="10.0" style="5"/>
    <col min="9465" max="9465" customWidth="1" bestFit="1" width="10.0" style="5"/>
    <col min="9466" max="9466" customWidth="1" bestFit="1" width="10.0" style="5"/>
    <col min="9467" max="9467" customWidth="1" bestFit="1" width="10.0" style="5"/>
    <col min="9468" max="9468" customWidth="1" bestFit="1" width="10.0" style="5"/>
    <col min="9469" max="9469" customWidth="1" bestFit="1" width="10.0" style="5"/>
    <col min="9470" max="9470" customWidth="1" bestFit="1" width="10.0" style="5"/>
    <col min="9471" max="9471" customWidth="1" bestFit="1" width="10.0" style="5"/>
    <col min="9472" max="9472" customWidth="1" bestFit="1" width="10.0" style="5"/>
    <col min="9473" max="9473" customWidth="1" bestFit="1" width="10.0" style="5"/>
    <col min="9474" max="9474" customWidth="1" bestFit="1" width="10.0" style="5"/>
    <col min="9475" max="9475" customWidth="1" bestFit="1" width="10.0" style="5"/>
    <col min="9476" max="9476" customWidth="1" bestFit="1" width="10.0" style="5"/>
    <col min="9477" max="9477" customWidth="1" bestFit="1" width="10.0" style="5"/>
    <col min="9478" max="9478" customWidth="1" bestFit="1" width="10.0" style="5"/>
    <col min="9479" max="9479" customWidth="1" bestFit="1" width="10.0" style="5"/>
    <col min="9480" max="9480" customWidth="1" bestFit="1" width="10.0" style="5"/>
    <col min="9481" max="9481" customWidth="1" bestFit="1" width="10.0" style="5"/>
    <col min="9482" max="9482" customWidth="1" bestFit="1" width="10.0" style="5"/>
    <col min="9483" max="9483" customWidth="1" bestFit="1" width="10.0" style="5"/>
    <col min="9484" max="9484" customWidth="1" bestFit="1" width="10.0" style="5"/>
    <col min="9485" max="9485" customWidth="1" bestFit="1" width="10.0" style="5"/>
    <col min="9486" max="9486" customWidth="1" bestFit="1" width="10.0" style="5"/>
    <col min="9487" max="9487" customWidth="1" bestFit="1" width="10.0" style="5"/>
    <col min="9488" max="9488" customWidth="1" bestFit="1" width="10.0" style="5"/>
    <col min="9489" max="9489" customWidth="1" bestFit="1" width="10.0" style="5"/>
    <col min="9490" max="9490" customWidth="1" bestFit="1" width="10.0" style="5"/>
    <col min="9491" max="9491" customWidth="1" bestFit="1" width="10.0" style="5"/>
    <col min="9492" max="9492" customWidth="1" bestFit="1" width="10.0" style="5"/>
    <col min="9493" max="9493" customWidth="1" bestFit="1" width="10.0" style="5"/>
    <col min="9494" max="9494" customWidth="1" bestFit="1" width="10.0" style="5"/>
    <col min="9495" max="9495" customWidth="1" bestFit="1" width="10.0" style="5"/>
    <col min="9496" max="9496" customWidth="1" bestFit="1" width="10.0" style="5"/>
    <col min="9497" max="9497" customWidth="1" bestFit="1" width="10.0" style="5"/>
    <col min="9498" max="9498" customWidth="1" bestFit="1" width="10.0" style="5"/>
    <col min="9499" max="9499" customWidth="1" bestFit="1" width="10.0" style="5"/>
    <col min="9500" max="9500" customWidth="1" bestFit="1" width="10.0" style="5"/>
    <col min="9501" max="9501" customWidth="1" bestFit="1" width="10.0" style="5"/>
    <col min="9502" max="9502" customWidth="1" bestFit="1" width="10.0" style="5"/>
    <col min="9503" max="9503" customWidth="1" bestFit="1" width="10.0" style="5"/>
    <col min="9504" max="9504" customWidth="1" bestFit="1" width="10.0" style="5"/>
    <col min="9505" max="9505" customWidth="1" bestFit="1" width="10.0" style="5"/>
    <col min="9506" max="9506" customWidth="1" bestFit="1" width="10.0" style="5"/>
    <col min="9507" max="9507" customWidth="1" bestFit="1" width="10.0" style="5"/>
    <col min="9508" max="9508" customWidth="1" bestFit="1" width="10.0" style="5"/>
    <col min="9509" max="9509" customWidth="1" bestFit="1" width="10.0" style="5"/>
    <col min="9510" max="9510" customWidth="1" bestFit="1" width="10.0" style="5"/>
    <col min="9511" max="9511" customWidth="1" bestFit="1" width="10.0" style="5"/>
    <col min="9512" max="9512" customWidth="1" bestFit="1" width="10.0" style="5"/>
    <col min="9513" max="9513" customWidth="1" bestFit="1" width="10.0" style="5"/>
    <col min="9514" max="9514" customWidth="1" bestFit="1" width="10.0" style="5"/>
    <col min="9515" max="9515" customWidth="1" bestFit="1" width="10.0" style="5"/>
    <col min="9516" max="9516" customWidth="1" bestFit="1" width="10.0" style="5"/>
    <col min="9517" max="9517" customWidth="1" bestFit="1" width="10.0" style="5"/>
    <col min="9518" max="9518" customWidth="1" bestFit="1" width="10.0" style="5"/>
    <col min="9519" max="9519" customWidth="1" bestFit="1" width="10.0" style="5"/>
    <col min="9520" max="9520" customWidth="1" bestFit="1" width="10.0" style="5"/>
    <col min="9521" max="9521" customWidth="1" bestFit="1" width="10.0" style="5"/>
    <col min="9522" max="9522" customWidth="1" bestFit="1" width="10.0" style="5"/>
    <col min="9523" max="9523" customWidth="1" bestFit="1" width="10.0" style="5"/>
    <col min="9524" max="9524" customWidth="1" bestFit="1" width="10.0" style="5"/>
    <col min="9525" max="9525" customWidth="1" bestFit="1" width="10.0" style="5"/>
    <col min="9526" max="9526" customWidth="1" bestFit="1" width="10.0" style="5"/>
    <col min="9527" max="9527" customWidth="1" bestFit="1" width="10.0" style="5"/>
    <col min="9528" max="9528" customWidth="1" bestFit="1" width="10.0" style="5"/>
    <col min="9529" max="9529" customWidth="1" bestFit="1" width="10.0" style="5"/>
    <col min="9530" max="9530" customWidth="1" bestFit="1" width="10.0" style="5"/>
    <col min="9531" max="9531" customWidth="1" bestFit="1" width="10.0" style="5"/>
    <col min="9532" max="9532" customWidth="1" bestFit="1" width="10.0" style="5"/>
    <col min="9533" max="9533" customWidth="1" bestFit="1" width="10.0" style="5"/>
    <col min="9534" max="9534" customWidth="1" bestFit="1" width="10.0" style="5"/>
    <col min="9535" max="9535" customWidth="1" bestFit="1" width="10.0" style="5"/>
    <col min="9536" max="9536" customWidth="1" bestFit="1" width="10.0" style="5"/>
    <col min="9537" max="9537" customWidth="1" bestFit="1" width="10.0" style="5"/>
    <col min="9538" max="9538" customWidth="1" bestFit="1" width="10.0" style="5"/>
    <col min="9539" max="9539" customWidth="1" bestFit="1" width="10.0" style="5"/>
    <col min="9540" max="9540" customWidth="1" bestFit="1" width="10.0" style="5"/>
    <col min="9541" max="9541" customWidth="1" bestFit="1" width="10.0" style="5"/>
    <col min="9542" max="9542" customWidth="1" bestFit="1" width="10.0" style="5"/>
    <col min="9543" max="9543" customWidth="1" bestFit="1" width="10.0" style="5"/>
    <col min="9544" max="9544" customWidth="1" bestFit="1" width="10.0" style="5"/>
    <col min="9545" max="9545" customWidth="1" bestFit="1" width="10.0" style="5"/>
    <col min="9546" max="9546" customWidth="1" bestFit="1" width="10.0" style="5"/>
    <col min="9547" max="9547" customWidth="1" bestFit="1" width="10.0" style="5"/>
    <col min="9548" max="9548" customWidth="1" bestFit="1" width="10.0" style="5"/>
    <col min="9549" max="9549" customWidth="1" bestFit="1" width="10.0" style="5"/>
    <col min="9550" max="9550" customWidth="1" bestFit="1" width="10.0" style="5"/>
    <col min="9551" max="9551" customWidth="1" bestFit="1" width="10.0" style="5"/>
    <col min="9552" max="9552" customWidth="1" bestFit="1" width="10.0" style="5"/>
    <col min="9553" max="9553" customWidth="1" bestFit="1" width="10.0" style="5"/>
    <col min="9554" max="9554" customWidth="1" bestFit="1" width="10.0" style="5"/>
    <col min="9555" max="9555" customWidth="1" bestFit="1" width="10.0" style="5"/>
    <col min="9556" max="9556" customWidth="1" bestFit="1" width="10.0" style="5"/>
    <col min="9557" max="9557" customWidth="1" bestFit="1" width="10.0" style="5"/>
    <col min="9558" max="9558" customWidth="1" bestFit="1" width="10.0" style="5"/>
    <col min="9559" max="9559" customWidth="1" bestFit="1" width="10.0" style="5"/>
    <col min="9560" max="9560" customWidth="1" bestFit="1" width="10.0" style="5"/>
    <col min="9561" max="9561" customWidth="1" bestFit="1" width="10.0" style="5"/>
    <col min="9562" max="9562" customWidth="1" bestFit="1" width="10.0" style="5"/>
    <col min="9563" max="9563" customWidth="1" bestFit="1" width="10.0" style="5"/>
    <col min="9564" max="9564" customWidth="1" bestFit="1" width="10.0" style="5"/>
    <col min="9565" max="9565" customWidth="1" bestFit="1" width="10.0" style="5"/>
    <col min="9566" max="9566" customWidth="1" bestFit="1" width="10.0" style="5"/>
    <col min="9567" max="9567" customWidth="1" bestFit="1" width="10.0" style="5"/>
    <col min="9568" max="9568" customWidth="1" bestFit="1" width="10.0" style="5"/>
    <col min="9569" max="9569" customWidth="1" bestFit="1" width="10.0" style="5"/>
    <col min="9570" max="9570" customWidth="1" bestFit="1" width="10.0" style="5"/>
    <col min="9571" max="9571" customWidth="1" bestFit="1" width="10.0" style="5"/>
    <col min="9572" max="9572" customWidth="1" bestFit="1" width="10.0" style="5"/>
    <col min="9573" max="9573" customWidth="1" bestFit="1" width="10.0" style="5"/>
    <col min="9574" max="9574" customWidth="1" bestFit="1" width="10.0" style="5"/>
    <col min="9575" max="9575" customWidth="1" bestFit="1" width="10.0" style="5"/>
    <col min="9576" max="9576" customWidth="1" bestFit="1" width="10.0" style="5"/>
    <col min="9577" max="9577" customWidth="1" bestFit="1" width="10.0" style="5"/>
    <col min="9578" max="9578" customWidth="1" bestFit="1" width="10.0" style="5"/>
    <col min="9579" max="9579" customWidth="1" bestFit="1" width="10.0" style="5"/>
    <col min="9580" max="9580" customWidth="1" bestFit="1" width="10.0" style="5"/>
    <col min="9581" max="9581" customWidth="1" bestFit="1" width="10.0" style="5"/>
    <col min="9582" max="9582" customWidth="1" bestFit="1" width="10.0" style="5"/>
    <col min="9583" max="9583" customWidth="1" bestFit="1" width="10.0" style="5"/>
    <col min="9584" max="9584" customWidth="1" bestFit="1" width="10.0" style="5"/>
    <col min="9585" max="9585" customWidth="1" bestFit="1" width="10.0" style="5"/>
    <col min="9586" max="9586" customWidth="1" bestFit="1" width="10.0" style="5"/>
    <col min="9587" max="9587" customWidth="1" bestFit="1" width="10.0" style="5"/>
    <col min="9588" max="9588" customWidth="1" bestFit="1" width="10.0" style="5"/>
    <col min="9589" max="9589" customWidth="1" bestFit="1" width="10.0" style="5"/>
    <col min="9590" max="9590" customWidth="1" bestFit="1" width="10.0" style="5"/>
    <col min="9591" max="9591" customWidth="1" bestFit="1" width="10.0" style="5"/>
    <col min="9592" max="9592" customWidth="1" bestFit="1" width="10.0" style="5"/>
    <col min="9593" max="9593" customWidth="1" bestFit="1" width="10.0" style="5"/>
    <col min="9594" max="9594" customWidth="1" bestFit="1" width="10.0" style="5"/>
    <col min="9595" max="9595" customWidth="1" bestFit="1" width="10.0" style="5"/>
    <col min="9596" max="9596" customWidth="1" bestFit="1" width="10.0" style="5"/>
    <col min="9597" max="9597" customWidth="1" bestFit="1" width="10.0" style="5"/>
    <col min="9598" max="9598" customWidth="1" bestFit="1" width="10.0" style="5"/>
    <col min="9599" max="9599" customWidth="1" bestFit="1" width="10.0" style="5"/>
    <col min="9600" max="9600" customWidth="1" bestFit="1" width="10.0" style="5"/>
    <col min="9601" max="9601" customWidth="1" bestFit="1" width="10.0" style="5"/>
    <col min="9602" max="9602" customWidth="1" bestFit="1" width="10.0" style="5"/>
    <col min="9603" max="9603" customWidth="1" bestFit="1" width="10.0" style="5"/>
    <col min="9604" max="9604" customWidth="1" bestFit="1" width="10.0" style="5"/>
    <col min="9605" max="9605" customWidth="1" bestFit="1" width="10.0" style="5"/>
    <col min="9606" max="9606" customWidth="1" bestFit="1" width="10.0" style="5"/>
    <col min="9607" max="9607" customWidth="1" bestFit="1" width="10.0" style="5"/>
    <col min="9608" max="9608" customWidth="1" bestFit="1" width="10.0" style="5"/>
    <col min="9609" max="9609" customWidth="1" bestFit="1" width="10.0" style="5"/>
    <col min="9610" max="9610" customWidth="1" bestFit="1" width="10.0" style="5"/>
    <col min="9611" max="9611" customWidth="1" bestFit="1" width="10.0" style="5"/>
    <col min="9612" max="9612" customWidth="1" bestFit="1" width="10.0" style="5"/>
    <col min="9613" max="9613" customWidth="1" bestFit="1" width="10.0" style="5"/>
    <col min="9614" max="9614" customWidth="1" bestFit="1" width="10.0" style="5"/>
    <col min="9615" max="9615" customWidth="1" bestFit="1" width="10.0" style="5"/>
    <col min="9616" max="9616" customWidth="1" bestFit="1" width="10.0" style="5"/>
    <col min="9617" max="9617" customWidth="1" bestFit="1" width="10.0" style="5"/>
    <col min="9618" max="9618" customWidth="1" bestFit="1" width="10.0" style="5"/>
    <col min="9619" max="9619" customWidth="1" bestFit="1" width="10.0" style="5"/>
    <col min="9620" max="9620" customWidth="1" bestFit="1" width="10.0" style="5"/>
    <col min="9621" max="9621" customWidth="1" bestFit="1" width="10.0" style="5"/>
    <col min="9622" max="9622" customWidth="1" bestFit="1" width="10.0" style="5"/>
    <col min="9623" max="9623" customWidth="1" bestFit="1" width="10.0" style="5"/>
    <col min="9624" max="9624" customWidth="1" bestFit="1" width="10.0" style="5"/>
    <col min="9625" max="9625" customWidth="1" bestFit="1" width="10.0" style="5"/>
    <col min="9626" max="9626" customWidth="1" bestFit="1" width="10.0" style="5"/>
    <col min="9627" max="9627" customWidth="1" bestFit="1" width="10.0" style="5"/>
    <col min="9628" max="9628" customWidth="1" bestFit="1" width="10.0" style="5"/>
    <col min="9629" max="9629" customWidth="1" bestFit="1" width="10.0" style="5"/>
    <col min="9630" max="9630" customWidth="1" bestFit="1" width="10.0" style="5"/>
    <col min="9631" max="9631" customWidth="1" bestFit="1" width="10.0" style="5"/>
    <col min="9632" max="9632" customWidth="1" bestFit="1" width="10.0" style="5"/>
    <col min="9633" max="9633" customWidth="1" bestFit="1" width="10.0" style="5"/>
    <col min="9634" max="9634" customWidth="1" bestFit="1" width="10.0" style="5"/>
    <col min="9635" max="9635" customWidth="1" bestFit="1" width="10.0" style="5"/>
    <col min="9636" max="9636" customWidth="1" bestFit="1" width="10.0" style="5"/>
    <col min="9637" max="9637" customWidth="1" bestFit="1" width="10.0" style="5"/>
    <col min="9638" max="9638" customWidth="1" bestFit="1" width="10.0" style="5"/>
    <col min="9639" max="9639" customWidth="1" bestFit="1" width="10.0" style="5"/>
    <col min="9640" max="9640" customWidth="1" bestFit="1" width="10.0" style="5"/>
    <col min="9641" max="9641" customWidth="1" bestFit="1" width="10.0" style="5"/>
    <col min="9642" max="9642" customWidth="1" bestFit="1" width="10.0" style="5"/>
    <col min="9643" max="9643" customWidth="1" bestFit="1" width="10.0" style="5"/>
    <col min="9644" max="9644" customWidth="1" bestFit="1" width="10.0" style="5"/>
    <col min="9645" max="9645" customWidth="1" bestFit="1" width="10.0" style="5"/>
    <col min="9646" max="9646" customWidth="1" bestFit="1" width="10.0" style="5"/>
    <col min="9647" max="9647" customWidth="1" bestFit="1" width="10.0" style="5"/>
    <col min="9648" max="9648" customWidth="1" bestFit="1" width="10.0" style="5"/>
    <col min="9649" max="9649" customWidth="1" bestFit="1" width="10.0" style="5"/>
    <col min="9650" max="9650" customWidth="1" bestFit="1" width="10.0" style="5"/>
    <col min="9651" max="9651" customWidth="1" bestFit="1" width="10.0" style="5"/>
    <col min="9652" max="9652" customWidth="1" bestFit="1" width="10.0" style="5"/>
    <col min="9653" max="9653" customWidth="1" bestFit="1" width="10.0" style="5"/>
    <col min="9654" max="9654" customWidth="1" bestFit="1" width="10.0" style="5"/>
    <col min="9655" max="9655" customWidth="1" bestFit="1" width="10.0" style="5"/>
    <col min="9656" max="9656" customWidth="1" bestFit="1" width="10.0" style="5"/>
    <col min="9657" max="9657" customWidth="1" bestFit="1" width="10.0" style="5"/>
    <col min="9658" max="9658" customWidth="1" bestFit="1" width="10.0" style="5"/>
    <col min="9659" max="9659" customWidth="1" bestFit="1" width="10.0" style="5"/>
    <col min="9660" max="9660" customWidth="1" bestFit="1" width="10.0" style="5"/>
    <col min="9661" max="9661" customWidth="1" bestFit="1" width="10.0" style="5"/>
    <col min="9662" max="9662" customWidth="1" bestFit="1" width="10.0" style="5"/>
    <col min="9663" max="9663" customWidth="1" bestFit="1" width="10.0" style="5"/>
    <col min="9664" max="9664" customWidth="1" bestFit="1" width="10.0" style="5"/>
    <col min="9665" max="9665" customWidth="1" bestFit="1" width="10.0" style="5"/>
    <col min="9666" max="9666" customWidth="1" bestFit="1" width="10.0" style="5"/>
    <col min="9667" max="9667" customWidth="1" bestFit="1" width="10.0" style="5"/>
    <col min="9668" max="9668" customWidth="1" bestFit="1" width="10.0" style="5"/>
    <col min="9669" max="9669" customWidth="1" bestFit="1" width="10.0" style="5"/>
    <col min="9670" max="9670" customWidth="1" bestFit="1" width="10.0" style="5"/>
    <col min="9671" max="9671" customWidth="1" bestFit="1" width="10.0" style="5"/>
    <col min="9672" max="9672" customWidth="1" bestFit="1" width="10.0" style="5"/>
    <col min="9673" max="9673" customWidth="1" bestFit="1" width="10.0" style="5"/>
    <col min="9674" max="9674" customWidth="1" bestFit="1" width="10.0" style="5"/>
    <col min="9675" max="9675" customWidth="1" bestFit="1" width="10.0" style="5"/>
    <col min="9676" max="9676" customWidth="1" bestFit="1" width="10.0" style="5"/>
    <col min="9677" max="9677" customWidth="1" bestFit="1" width="10.0" style="5"/>
    <col min="9678" max="9678" customWidth="1" bestFit="1" width="10.0" style="5"/>
    <col min="9679" max="9679" customWidth="1" bestFit="1" width="10.0" style="5"/>
    <col min="9680" max="9680" customWidth="1" bestFit="1" width="10.0" style="5"/>
    <col min="9681" max="9681" customWidth="1" bestFit="1" width="10.0" style="5"/>
    <col min="9682" max="9682" customWidth="1" bestFit="1" width="10.0" style="5"/>
    <col min="9683" max="9683" customWidth="1" bestFit="1" width="10.0" style="5"/>
    <col min="9684" max="9684" customWidth="1" bestFit="1" width="10.0" style="5"/>
    <col min="9685" max="9685" customWidth="1" bestFit="1" width="10.0" style="5"/>
    <col min="9686" max="9686" customWidth="1" bestFit="1" width="10.0" style="5"/>
    <col min="9687" max="9687" customWidth="1" bestFit="1" width="10.0" style="5"/>
    <col min="9688" max="9688" customWidth="1" bestFit="1" width="10.0" style="5"/>
    <col min="9689" max="9689" customWidth="1" bestFit="1" width="10.0" style="5"/>
    <col min="9690" max="9690" customWidth="1" bestFit="1" width="10.0" style="5"/>
    <col min="9691" max="9691" customWidth="1" bestFit="1" width="10.0" style="5"/>
    <col min="9692" max="9692" customWidth="1" bestFit="1" width="10.0" style="5"/>
    <col min="9693" max="9693" customWidth="1" bestFit="1" width="10.0" style="5"/>
    <col min="9694" max="9694" customWidth="1" bestFit="1" width="10.0" style="5"/>
    <col min="9695" max="9695" customWidth="1" bestFit="1" width="10.0" style="5"/>
    <col min="9696" max="9696" customWidth="1" bestFit="1" width="10.0" style="5"/>
    <col min="9697" max="9697" customWidth="1" bestFit="1" width="10.0" style="5"/>
    <col min="9698" max="9698" customWidth="1" bestFit="1" width="10.0" style="5"/>
    <col min="9699" max="9699" customWidth="1" bestFit="1" width="10.0" style="5"/>
    <col min="9700" max="9700" customWidth="1" bestFit="1" width="10.0" style="5"/>
    <col min="9701" max="9701" customWidth="1" bestFit="1" width="10.0" style="5"/>
    <col min="9702" max="9702" customWidth="1" bestFit="1" width="10.0" style="5"/>
    <col min="9703" max="9703" customWidth="1" bestFit="1" width="10.0" style="5"/>
    <col min="9704" max="9704" customWidth="1" bestFit="1" width="10.0" style="5"/>
    <col min="9705" max="9705" customWidth="1" bestFit="1" width="10.0" style="5"/>
    <col min="9706" max="9706" customWidth="1" bestFit="1" width="10.0" style="5"/>
    <col min="9707" max="9707" customWidth="1" bestFit="1" width="10.0" style="5"/>
    <col min="9708" max="9708" customWidth="1" bestFit="1" width="10.0" style="5"/>
    <col min="9709" max="9709" customWidth="1" bestFit="1" width="10.0" style="5"/>
    <col min="9710" max="9710" customWidth="1" bestFit="1" width="10.0" style="5"/>
    <col min="9711" max="9711" customWidth="1" bestFit="1" width="10.0" style="5"/>
    <col min="9712" max="9712" customWidth="1" bestFit="1" width="10.0" style="5"/>
    <col min="9713" max="9713" customWidth="1" bestFit="1" width="10.0" style="5"/>
    <col min="9714" max="9714" customWidth="1" bestFit="1" width="10.0" style="5"/>
    <col min="9715" max="9715" customWidth="1" bestFit="1" width="10.0" style="5"/>
    <col min="9716" max="9716" customWidth="1" bestFit="1" width="10.0" style="5"/>
    <col min="9717" max="9717" customWidth="1" bestFit="1" width="10.0" style="5"/>
    <col min="9718" max="9718" customWidth="1" bestFit="1" width="10.0" style="5"/>
    <col min="9719" max="9719" customWidth="1" bestFit="1" width="10.0" style="5"/>
    <col min="9720" max="9720" customWidth="1" bestFit="1" width="10.0" style="5"/>
    <col min="9721" max="9721" customWidth="1" bestFit="1" width="10.0" style="5"/>
    <col min="9722" max="9722" customWidth="1" bestFit="1" width="10.0" style="5"/>
    <col min="9723" max="9723" customWidth="1" bestFit="1" width="10.0" style="5"/>
    <col min="9724" max="9724" customWidth="1" bestFit="1" width="10.0" style="5"/>
    <col min="9725" max="9725" customWidth="1" bestFit="1" width="10.0" style="5"/>
    <col min="9726" max="9726" customWidth="1" bestFit="1" width="10.0" style="5"/>
    <col min="9727" max="9727" customWidth="1" bestFit="1" width="10.0" style="5"/>
    <col min="9728" max="9728" customWidth="1" bestFit="1" width="10.0" style="5"/>
    <col min="9729" max="9729" customWidth="1" bestFit="1" width="10.0" style="5"/>
    <col min="9730" max="9730" customWidth="1" bestFit="1" width="10.0" style="5"/>
    <col min="9731" max="9731" customWidth="1" bestFit="1" width="10.0" style="5"/>
    <col min="9732" max="9732" customWidth="1" bestFit="1" width="10.0" style="5"/>
    <col min="9733" max="9733" customWidth="1" bestFit="1" width="10.0" style="5"/>
    <col min="9734" max="9734" customWidth="1" bestFit="1" width="10.0" style="5"/>
    <col min="9735" max="9735" customWidth="1" bestFit="1" width="10.0" style="5"/>
    <col min="9736" max="9736" customWidth="1" bestFit="1" width="10.0" style="5"/>
    <col min="9737" max="9737" customWidth="1" bestFit="1" width="10.0" style="5"/>
    <col min="9738" max="9738" customWidth="1" bestFit="1" width="10.0" style="5"/>
    <col min="9739" max="9739" customWidth="1" bestFit="1" width="10.0" style="5"/>
    <col min="9740" max="9740" customWidth="1" bestFit="1" width="10.0" style="5"/>
    <col min="9741" max="9741" customWidth="1" bestFit="1" width="10.0" style="5"/>
    <col min="9742" max="9742" customWidth="1" bestFit="1" width="10.0" style="5"/>
    <col min="9743" max="9743" customWidth="1" bestFit="1" width="10.0" style="5"/>
    <col min="9744" max="9744" customWidth="1" bestFit="1" width="10.0" style="5"/>
    <col min="9745" max="9745" customWidth="1" bestFit="1" width="10.0" style="5"/>
    <col min="9746" max="9746" customWidth="1" bestFit="1" width="10.0" style="5"/>
    <col min="9747" max="9747" customWidth="1" bestFit="1" width="10.0" style="5"/>
    <col min="9748" max="9748" customWidth="1" bestFit="1" width="10.0" style="5"/>
    <col min="9749" max="9749" customWidth="1" bestFit="1" width="10.0" style="5"/>
    <col min="9750" max="9750" customWidth="1" bestFit="1" width="10.0" style="5"/>
    <col min="9751" max="9751" customWidth="1" bestFit="1" width="10.0" style="5"/>
    <col min="9752" max="9752" customWidth="1" bestFit="1" width="10.0" style="5"/>
    <col min="9753" max="9753" customWidth="1" bestFit="1" width="10.0" style="5"/>
    <col min="9754" max="9754" customWidth="1" bestFit="1" width="10.0" style="5"/>
    <col min="9755" max="9755" customWidth="1" bestFit="1" width="10.0" style="5"/>
    <col min="9756" max="9756" customWidth="1" bestFit="1" width="10.0" style="5"/>
    <col min="9757" max="9757" customWidth="1" bestFit="1" width="10.0" style="5"/>
    <col min="9758" max="9758" customWidth="1" bestFit="1" width="10.0" style="5"/>
    <col min="9759" max="9759" customWidth="1" bestFit="1" width="10.0" style="5"/>
    <col min="9760" max="9760" customWidth="1" bestFit="1" width="10.0" style="5"/>
    <col min="9761" max="9761" customWidth="1" bestFit="1" width="10.0" style="5"/>
    <col min="9762" max="9762" customWidth="1" bestFit="1" width="10.0" style="5"/>
    <col min="9763" max="9763" customWidth="1" bestFit="1" width="10.0" style="5"/>
    <col min="9764" max="9764" customWidth="1" bestFit="1" width="10.0" style="5"/>
    <col min="9765" max="9765" customWidth="1" bestFit="1" width="10.0" style="5"/>
    <col min="9766" max="9766" customWidth="1" bestFit="1" width="10.0" style="5"/>
    <col min="9767" max="9767" customWidth="1" bestFit="1" width="10.0" style="5"/>
    <col min="9768" max="9768" customWidth="1" bestFit="1" width="10.0" style="5"/>
    <col min="9769" max="9769" customWidth="1" bestFit="1" width="10.0" style="5"/>
    <col min="9770" max="9770" customWidth="1" bestFit="1" width="10.0" style="5"/>
    <col min="9771" max="9771" customWidth="1" bestFit="1" width="10.0" style="5"/>
    <col min="9772" max="9772" customWidth="1" bestFit="1" width="10.0" style="5"/>
    <col min="9773" max="9773" customWidth="1" bestFit="1" width="10.0" style="5"/>
    <col min="9774" max="9774" customWidth="1" bestFit="1" width="10.0" style="5"/>
    <col min="9775" max="9775" customWidth="1" bestFit="1" width="10.0" style="5"/>
    <col min="9776" max="9776" customWidth="1" bestFit="1" width="10.0" style="5"/>
    <col min="9777" max="9777" customWidth="1" bestFit="1" width="10.0" style="5"/>
    <col min="9778" max="9778" customWidth="1" bestFit="1" width="10.0" style="5"/>
    <col min="9779" max="9779" customWidth="1" bestFit="1" width="10.0" style="5"/>
    <col min="9780" max="9780" customWidth="1" bestFit="1" width="10.0" style="5"/>
    <col min="9781" max="9781" customWidth="1" bestFit="1" width="10.0" style="5"/>
    <col min="9782" max="9782" customWidth="1" bestFit="1" width="10.0" style="5"/>
    <col min="9783" max="9783" customWidth="1" bestFit="1" width="10.0" style="5"/>
    <col min="9784" max="9784" customWidth="1" bestFit="1" width="10.0" style="5"/>
    <col min="9785" max="9785" customWidth="1" bestFit="1" width="10.0" style="5"/>
    <col min="9786" max="9786" customWidth="1" bestFit="1" width="10.0" style="5"/>
    <col min="9787" max="9787" customWidth="1" bestFit="1" width="10.0" style="5"/>
    <col min="9788" max="9788" customWidth="1" bestFit="1" width="10.0" style="5"/>
    <col min="9789" max="9789" customWidth="1" bestFit="1" width="10.0" style="5"/>
    <col min="9790" max="9790" customWidth="1" bestFit="1" width="10.0" style="5"/>
    <col min="9791" max="9791" customWidth="1" bestFit="1" width="10.0" style="5"/>
    <col min="9792" max="9792" customWidth="1" bestFit="1" width="10.0" style="5"/>
    <col min="9793" max="9793" customWidth="1" bestFit="1" width="10.0" style="5"/>
    <col min="9794" max="9794" customWidth="1" bestFit="1" width="10.0" style="5"/>
    <col min="9795" max="9795" customWidth="1" bestFit="1" width="10.0" style="5"/>
    <col min="9796" max="9796" customWidth="1" bestFit="1" width="10.0" style="5"/>
    <col min="9797" max="9797" customWidth="1" bestFit="1" width="10.0" style="5"/>
    <col min="9798" max="9798" customWidth="1" bestFit="1" width="10.0" style="5"/>
    <col min="9799" max="9799" customWidth="1" bestFit="1" width="10.0" style="5"/>
    <col min="9800" max="9800" customWidth="1" bestFit="1" width="10.0" style="5"/>
    <col min="9801" max="9801" customWidth="1" bestFit="1" width="10.0" style="5"/>
    <col min="9802" max="9802" customWidth="1" bestFit="1" width="10.0" style="5"/>
    <col min="9803" max="9803" customWidth="1" bestFit="1" width="10.0" style="5"/>
    <col min="9804" max="9804" customWidth="1" bestFit="1" width="10.0" style="5"/>
    <col min="9805" max="9805" customWidth="1" bestFit="1" width="10.0" style="5"/>
    <col min="9806" max="9806" customWidth="1" bestFit="1" width="10.0" style="5"/>
    <col min="9807" max="9807" customWidth="1" bestFit="1" width="10.0" style="5"/>
    <col min="9808" max="9808" customWidth="1" bestFit="1" width="10.0" style="5"/>
    <col min="9809" max="9809" customWidth="1" bestFit="1" width="10.0" style="5"/>
    <col min="9810" max="9810" customWidth="1" bestFit="1" width="10.0" style="5"/>
    <col min="9811" max="9811" customWidth="1" bestFit="1" width="10.0" style="5"/>
    <col min="9812" max="9812" customWidth="1" bestFit="1" width="10.0" style="5"/>
    <col min="9813" max="9813" customWidth="1" bestFit="1" width="10.0" style="5"/>
    <col min="9814" max="9814" customWidth="1" bestFit="1" width="10.0" style="5"/>
    <col min="9815" max="9815" customWidth="1" bestFit="1" width="10.0" style="5"/>
    <col min="9816" max="9816" customWidth="1" bestFit="1" width="10.0" style="5"/>
    <col min="9817" max="9817" customWidth="1" bestFit="1" width="10.0" style="5"/>
    <col min="9818" max="9818" customWidth="1" bestFit="1" width="10.0" style="5"/>
    <col min="9819" max="9819" customWidth="1" bestFit="1" width="10.0" style="5"/>
    <col min="9820" max="9820" customWidth="1" bestFit="1" width="10.0" style="5"/>
    <col min="9821" max="9821" customWidth="1" bestFit="1" width="10.0" style="5"/>
    <col min="9822" max="9822" customWidth="1" bestFit="1" width="10.0" style="5"/>
    <col min="9823" max="9823" customWidth="1" bestFit="1" width="10.0" style="5"/>
    <col min="9824" max="9824" customWidth="1" bestFit="1" width="10.0" style="5"/>
    <col min="9825" max="9825" customWidth="1" bestFit="1" width="10.0" style="5"/>
    <col min="9826" max="9826" customWidth="1" bestFit="1" width="10.0" style="5"/>
    <col min="9827" max="9827" customWidth="1" bestFit="1" width="10.0" style="5"/>
    <col min="9828" max="9828" customWidth="1" bestFit="1" width="10.0" style="5"/>
    <col min="9829" max="9829" customWidth="1" bestFit="1" width="10.0" style="5"/>
    <col min="9830" max="9830" customWidth="1" bestFit="1" width="10.0" style="5"/>
    <col min="9831" max="9831" customWidth="1" bestFit="1" width="10.0" style="5"/>
    <col min="9832" max="9832" customWidth="1" bestFit="1" width="10.0" style="5"/>
    <col min="9833" max="9833" customWidth="1" bestFit="1" width="10.0" style="5"/>
    <col min="9834" max="9834" customWidth="1" bestFit="1" width="10.0" style="5"/>
    <col min="9835" max="9835" customWidth="1" bestFit="1" width="10.0" style="5"/>
    <col min="9836" max="9836" customWidth="1" bestFit="1" width="10.0" style="5"/>
    <col min="9837" max="9837" customWidth="1" bestFit="1" width="10.0" style="5"/>
    <col min="9838" max="9838" customWidth="1" bestFit="1" width="10.0" style="5"/>
    <col min="9839" max="9839" customWidth="1" bestFit="1" width="10.0" style="5"/>
    <col min="9840" max="9840" customWidth="1" bestFit="1" width="10.0" style="5"/>
    <col min="9841" max="9841" customWidth="1" bestFit="1" width="10.0" style="5"/>
    <col min="9842" max="9842" customWidth="1" bestFit="1" width="10.0" style="5"/>
    <col min="9843" max="9843" customWidth="1" bestFit="1" width="10.0" style="5"/>
    <col min="9844" max="9844" customWidth="1" bestFit="1" width="10.0" style="5"/>
    <col min="9845" max="9845" customWidth="1" bestFit="1" width="10.0" style="5"/>
    <col min="9846" max="9846" customWidth="1" bestFit="1" width="10.0" style="5"/>
    <col min="9847" max="9847" customWidth="1" bestFit="1" width="10.0" style="5"/>
    <col min="9848" max="9848" customWidth="1" bestFit="1" width="10.0" style="5"/>
    <col min="9849" max="9849" customWidth="1" bestFit="1" width="10.0" style="5"/>
    <col min="9850" max="9850" customWidth="1" bestFit="1" width="10.0" style="5"/>
    <col min="9851" max="9851" customWidth="1" bestFit="1" width="10.0" style="5"/>
    <col min="9852" max="9852" customWidth="1" bestFit="1" width="10.0" style="5"/>
    <col min="9853" max="9853" customWidth="1" bestFit="1" width="10.0" style="5"/>
    <col min="9854" max="9854" customWidth="1" bestFit="1" width="10.0" style="5"/>
    <col min="9855" max="9855" customWidth="1" bestFit="1" width="10.0" style="5"/>
    <col min="9856" max="9856" customWidth="1" bestFit="1" width="10.0" style="5"/>
    <col min="9857" max="9857" customWidth="1" bestFit="1" width="10.0" style="5"/>
    <col min="9858" max="9858" customWidth="1" bestFit="1" width="10.0" style="5"/>
    <col min="9859" max="9859" customWidth="1" bestFit="1" width="10.0" style="5"/>
    <col min="9860" max="9860" customWidth="1" bestFit="1" width="10.0" style="5"/>
    <col min="9861" max="9861" customWidth="1" bestFit="1" width="10.0" style="5"/>
    <col min="9862" max="9862" customWidth="1" bestFit="1" width="10.0" style="5"/>
    <col min="9863" max="9863" customWidth="1" bestFit="1" width="10.0" style="5"/>
    <col min="9864" max="9864" customWidth="1" bestFit="1" width="10.0" style="5"/>
    <col min="9865" max="9865" customWidth="1" bestFit="1" width="10.0" style="5"/>
    <col min="9866" max="9866" customWidth="1" bestFit="1" width="10.0" style="5"/>
    <col min="9867" max="9867" customWidth="1" bestFit="1" width="10.0" style="5"/>
    <col min="9868" max="9868" customWidth="1" bestFit="1" width="10.0" style="5"/>
    <col min="9869" max="9869" customWidth="1" bestFit="1" width="10.0" style="5"/>
    <col min="9870" max="9870" customWidth="1" bestFit="1" width="10.0" style="5"/>
    <col min="9871" max="9871" customWidth="1" bestFit="1" width="10.0" style="5"/>
    <col min="9872" max="9872" customWidth="1" bestFit="1" width="10.0" style="5"/>
    <col min="9873" max="9873" customWidth="1" bestFit="1" width="10.0" style="5"/>
    <col min="9874" max="9874" customWidth="1" bestFit="1" width="10.0" style="5"/>
    <col min="9875" max="9875" customWidth="1" bestFit="1" width="10.0" style="5"/>
    <col min="9876" max="9876" customWidth="1" bestFit="1" width="10.0" style="5"/>
    <col min="9877" max="9877" customWidth="1" bestFit="1" width="10.0" style="5"/>
    <col min="9878" max="9878" customWidth="1" bestFit="1" width="10.0" style="5"/>
    <col min="9879" max="9879" customWidth="1" bestFit="1" width="10.0" style="5"/>
    <col min="9880" max="9880" customWidth="1" bestFit="1" width="10.0" style="5"/>
    <col min="9881" max="9881" customWidth="1" bestFit="1" width="10.0" style="5"/>
    <col min="9882" max="9882" customWidth="1" bestFit="1" width="10.0" style="5"/>
    <col min="9883" max="9883" customWidth="1" bestFit="1" width="10.0" style="5"/>
    <col min="9884" max="9884" customWidth="1" bestFit="1" width="10.0" style="5"/>
    <col min="9885" max="9885" customWidth="1" bestFit="1" width="10.0" style="5"/>
    <col min="9886" max="9886" customWidth="1" bestFit="1" width="10.0" style="5"/>
    <col min="9887" max="9887" customWidth="1" bestFit="1" width="10.0" style="5"/>
    <col min="9888" max="9888" customWidth="1" bestFit="1" width="10.0" style="5"/>
    <col min="9889" max="9889" customWidth="1" bestFit="1" width="10.0" style="5"/>
    <col min="9890" max="9890" customWidth="1" bestFit="1" width="10.0" style="5"/>
    <col min="9891" max="9891" customWidth="1" bestFit="1" width="10.0" style="5"/>
    <col min="9892" max="9892" customWidth="1" bestFit="1" width="10.0" style="5"/>
    <col min="9893" max="9893" customWidth="1" bestFit="1" width="10.0" style="5"/>
    <col min="9894" max="9894" customWidth="1" bestFit="1" width="10.0" style="5"/>
    <col min="9895" max="9895" customWidth="1" bestFit="1" width="10.0" style="5"/>
    <col min="9896" max="9896" customWidth="1" bestFit="1" width="10.0" style="5"/>
    <col min="9897" max="9897" customWidth="1" bestFit="1" width="10.0" style="5"/>
    <col min="9898" max="9898" customWidth="1" bestFit="1" width="10.0" style="5"/>
    <col min="9899" max="9899" customWidth="1" bestFit="1" width="10.0" style="5"/>
    <col min="9900" max="9900" customWidth="1" bestFit="1" width="10.0" style="5"/>
    <col min="9901" max="9901" customWidth="1" bestFit="1" width="10.0" style="5"/>
    <col min="9902" max="9902" customWidth="1" bestFit="1" width="10.0" style="5"/>
    <col min="9903" max="9903" customWidth="1" bestFit="1" width="10.0" style="5"/>
    <col min="9904" max="9904" customWidth="1" bestFit="1" width="10.0" style="5"/>
    <col min="9905" max="9905" customWidth="1" bestFit="1" width="10.0" style="5"/>
    <col min="9906" max="9906" customWidth="1" bestFit="1" width="10.0" style="5"/>
    <col min="9907" max="9907" customWidth="1" bestFit="1" width="10.0" style="5"/>
    <col min="9908" max="9908" customWidth="1" bestFit="1" width="10.0" style="5"/>
    <col min="9909" max="9909" customWidth="1" bestFit="1" width="10.0" style="5"/>
    <col min="9910" max="9910" customWidth="1" bestFit="1" width="10.0" style="5"/>
    <col min="9911" max="9911" customWidth="1" bestFit="1" width="10.0" style="5"/>
    <col min="9912" max="9912" customWidth="1" bestFit="1" width="10.0" style="5"/>
    <col min="9913" max="9913" customWidth="1" bestFit="1" width="10.0" style="5"/>
    <col min="9914" max="9914" customWidth="1" bestFit="1" width="10.0" style="5"/>
    <col min="9915" max="9915" customWidth="1" bestFit="1" width="10.0" style="5"/>
    <col min="9916" max="9916" customWidth="1" bestFit="1" width="10.0" style="5"/>
    <col min="9917" max="9917" customWidth="1" bestFit="1" width="10.0" style="5"/>
    <col min="9918" max="9918" customWidth="1" bestFit="1" width="10.0" style="5"/>
    <col min="9919" max="9919" customWidth="1" bestFit="1" width="10.0" style="5"/>
    <col min="9920" max="9920" customWidth="1" bestFit="1" width="10.0" style="5"/>
    <col min="9921" max="9921" customWidth="1" bestFit="1" width="10.0" style="5"/>
    <col min="9922" max="9922" customWidth="1" bestFit="1" width="10.0" style="5"/>
    <col min="9923" max="9923" customWidth="1" bestFit="1" width="10.0" style="5"/>
    <col min="9924" max="9924" customWidth="1" bestFit="1" width="10.0" style="5"/>
    <col min="9925" max="9925" customWidth="1" bestFit="1" width="10.0" style="5"/>
    <col min="9926" max="9926" customWidth="1" bestFit="1" width="10.0" style="5"/>
    <col min="9927" max="9927" customWidth="1" bestFit="1" width="10.0" style="5"/>
    <col min="9928" max="9928" customWidth="1" bestFit="1" width="10.0" style="5"/>
    <col min="9929" max="9929" customWidth="1" bestFit="1" width="10.0" style="5"/>
    <col min="9930" max="9930" customWidth="1" bestFit="1" width="10.0" style="5"/>
    <col min="9931" max="9931" customWidth="1" bestFit="1" width="10.0" style="5"/>
    <col min="9932" max="9932" customWidth="1" bestFit="1" width="10.0" style="5"/>
    <col min="9933" max="9933" customWidth="1" bestFit="1" width="10.0" style="5"/>
    <col min="9934" max="9934" customWidth="1" bestFit="1" width="10.0" style="5"/>
    <col min="9935" max="9935" customWidth="1" bestFit="1" width="10.0" style="5"/>
    <col min="9936" max="9936" customWidth="1" bestFit="1" width="10.0" style="5"/>
    <col min="9937" max="9937" customWidth="1" bestFit="1" width="10.0" style="5"/>
    <col min="9938" max="9938" customWidth="1" bestFit="1" width="10.0" style="5"/>
    <col min="9939" max="9939" customWidth="1" bestFit="1" width="10.0" style="5"/>
    <col min="9940" max="9940" customWidth="1" bestFit="1" width="10.0" style="5"/>
    <col min="9941" max="9941" customWidth="1" bestFit="1" width="10.0" style="5"/>
    <col min="9942" max="9942" customWidth="1" bestFit="1" width="10.0" style="5"/>
    <col min="9943" max="9943" customWidth="1" bestFit="1" width="10.0" style="5"/>
    <col min="9944" max="9944" customWidth="1" bestFit="1" width="10.0" style="5"/>
    <col min="9945" max="9945" customWidth="1" bestFit="1" width="10.0" style="5"/>
    <col min="9946" max="9946" customWidth="1" bestFit="1" width="10.0" style="5"/>
    <col min="9947" max="9947" customWidth="1" bestFit="1" width="10.0" style="5"/>
    <col min="9948" max="9948" customWidth="1" bestFit="1" width="10.0" style="5"/>
    <col min="9949" max="9949" customWidth="1" bestFit="1" width="10.0" style="5"/>
    <col min="9950" max="9950" customWidth="1" bestFit="1" width="10.0" style="5"/>
    <col min="9951" max="9951" customWidth="1" bestFit="1" width="10.0" style="5"/>
    <col min="9952" max="9952" customWidth="1" bestFit="1" width="10.0" style="5"/>
    <col min="9953" max="9953" customWidth="1" bestFit="1" width="10.0" style="5"/>
    <col min="9954" max="9954" customWidth="1" bestFit="1" width="10.0" style="5"/>
    <col min="9955" max="9955" customWidth="1" bestFit="1" width="10.0" style="5"/>
    <col min="9956" max="9956" customWidth="1" bestFit="1" width="10.0" style="5"/>
    <col min="9957" max="9957" customWidth="1" bestFit="1" width="10.0" style="5"/>
    <col min="9958" max="9958" customWidth="1" bestFit="1" width="10.0" style="5"/>
    <col min="9959" max="9959" customWidth="1" bestFit="1" width="10.0" style="5"/>
    <col min="9960" max="9960" customWidth="1" bestFit="1" width="10.0" style="5"/>
    <col min="9961" max="9961" customWidth="1" bestFit="1" width="10.0" style="5"/>
    <col min="9962" max="9962" customWidth="1" bestFit="1" width="10.0" style="5"/>
    <col min="9963" max="9963" customWidth="1" bestFit="1" width="10.0" style="5"/>
    <col min="9964" max="9964" customWidth="1" bestFit="1" width="10.0" style="5"/>
    <col min="9965" max="9965" customWidth="1" bestFit="1" width="10.0" style="5"/>
    <col min="9966" max="9966" customWidth="1" bestFit="1" width="10.0" style="5"/>
    <col min="9967" max="9967" customWidth="1" bestFit="1" width="10.0" style="5"/>
    <col min="9968" max="9968" customWidth="1" bestFit="1" width="10.0" style="5"/>
    <col min="9969" max="9969" customWidth="1" bestFit="1" width="10.0" style="5"/>
    <col min="9970" max="9970" customWidth="1" bestFit="1" width="10.0" style="5"/>
    <col min="9971" max="9971" customWidth="1" bestFit="1" width="10.0" style="5"/>
    <col min="9972" max="9972" customWidth="1" bestFit="1" width="10.0" style="5"/>
    <col min="9973" max="9973" customWidth="1" bestFit="1" width="10.0" style="5"/>
    <col min="9974" max="9974" customWidth="1" bestFit="1" width="10.0" style="5"/>
    <col min="9975" max="9975" customWidth="1" bestFit="1" width="10.0" style="5"/>
    <col min="9976" max="9976" customWidth="1" bestFit="1" width="10.0" style="5"/>
    <col min="9977" max="9977" customWidth="1" bestFit="1" width="10.0" style="5"/>
    <col min="9978" max="9978" customWidth="1" bestFit="1" width="10.0" style="5"/>
    <col min="9979" max="9979" customWidth="1" bestFit="1" width="10.0" style="5"/>
    <col min="9980" max="9980" customWidth="1" bestFit="1" width="10.0" style="5"/>
    <col min="9981" max="9981" customWidth="1" bestFit="1" width="10.0" style="5"/>
    <col min="9982" max="9982" customWidth="1" bestFit="1" width="10.0" style="5"/>
    <col min="9983" max="9983" customWidth="1" bestFit="1" width="10.0" style="5"/>
    <col min="9984" max="9984" customWidth="1" bestFit="1" width="10.0" style="5"/>
    <col min="9985" max="9985" customWidth="1" bestFit="1" width="10.0" style="5"/>
    <col min="9986" max="9986" customWidth="1" bestFit="1" width="10.0" style="5"/>
    <col min="9987" max="9987" customWidth="1" bestFit="1" width="10.0" style="5"/>
    <col min="9988" max="9988" customWidth="1" bestFit="1" width="10.0" style="5"/>
    <col min="9989" max="9989" customWidth="1" bestFit="1" width="10.0" style="5"/>
    <col min="9990" max="9990" customWidth="1" bestFit="1" width="10.0" style="5"/>
    <col min="9991" max="9991" customWidth="1" bestFit="1" width="10.0" style="5"/>
    <col min="9992" max="9992" customWidth="1" bestFit="1" width="10.0" style="5"/>
    <col min="9993" max="9993" customWidth="1" bestFit="1" width="10.0" style="5"/>
    <col min="9994" max="9994" customWidth="1" bestFit="1" width="10.0" style="5"/>
    <col min="9995" max="9995" customWidth="1" bestFit="1" width="10.0" style="5"/>
    <col min="9996" max="9996" customWidth="1" bestFit="1" width="10.0" style="5"/>
    <col min="9997" max="9997" customWidth="1" bestFit="1" width="10.0" style="5"/>
    <col min="9998" max="9998" customWidth="1" bestFit="1" width="10.0" style="5"/>
    <col min="9999" max="9999" customWidth="1" bestFit="1" width="10.0" style="5"/>
    <col min="10000" max="10000" customWidth="1" bestFit="1" width="10.0" style="5"/>
    <col min="10001" max="10001" customWidth="1" bestFit="1" width="10.0" style="5"/>
    <col min="10002" max="10002" customWidth="1" bestFit="1" width="10.0" style="5"/>
    <col min="10003" max="10003" customWidth="1" bestFit="1" width="10.0" style="5"/>
    <col min="10004" max="10004" customWidth="1" bestFit="1" width="10.0" style="5"/>
    <col min="10005" max="10005" customWidth="1" bestFit="1" width="10.0" style="5"/>
    <col min="10006" max="10006" customWidth="1" bestFit="1" width="10.0" style="5"/>
    <col min="10007" max="10007" customWidth="1" bestFit="1" width="10.0" style="5"/>
    <col min="10008" max="10008" customWidth="1" bestFit="1" width="10.0" style="5"/>
    <col min="10009" max="10009" customWidth="1" bestFit="1" width="10.0" style="5"/>
    <col min="10010" max="10010" customWidth="1" bestFit="1" width="10.0" style="5"/>
    <col min="10011" max="10011" customWidth="1" bestFit="1" width="10.0" style="5"/>
    <col min="10012" max="10012" customWidth="1" bestFit="1" width="10.0" style="5"/>
    <col min="10013" max="10013" customWidth="1" bestFit="1" width="10.0" style="5"/>
    <col min="10014" max="10014" customWidth="1" bestFit="1" width="10.0" style="5"/>
    <col min="10015" max="10015" customWidth="1" bestFit="1" width="10.0" style="5"/>
    <col min="10016" max="10016" customWidth="1" bestFit="1" width="10.0" style="5"/>
    <col min="10017" max="10017" customWidth="1" bestFit="1" width="10.0" style="5"/>
    <col min="10018" max="10018" customWidth="1" bestFit="1" width="10.0" style="5"/>
    <col min="10019" max="10019" customWidth="1" bestFit="1" width="10.0" style="5"/>
    <col min="10020" max="10020" customWidth="1" bestFit="1" width="10.0" style="5"/>
    <col min="10021" max="10021" customWidth="1" bestFit="1" width="10.0" style="5"/>
    <col min="10022" max="10022" customWidth="1" bestFit="1" width="10.0" style="5"/>
    <col min="10023" max="10023" customWidth="1" bestFit="1" width="10.0" style="5"/>
    <col min="10024" max="10024" customWidth="1" bestFit="1" width="10.0" style="5"/>
    <col min="10025" max="10025" customWidth="1" bestFit="1" width="10.0" style="5"/>
    <col min="10026" max="10026" customWidth="1" bestFit="1" width="10.0" style="5"/>
    <col min="10027" max="10027" customWidth="1" bestFit="1" width="10.0" style="5"/>
    <col min="10028" max="10028" customWidth="1" bestFit="1" width="10.0" style="5"/>
    <col min="10029" max="10029" customWidth="1" bestFit="1" width="10.0" style="5"/>
    <col min="10030" max="10030" customWidth="1" bestFit="1" width="10.0" style="5"/>
    <col min="10031" max="10031" customWidth="1" bestFit="1" width="10.0" style="5"/>
    <col min="10032" max="10032" customWidth="1" bestFit="1" width="10.0" style="5"/>
    <col min="10033" max="10033" customWidth="1" bestFit="1" width="10.0" style="5"/>
    <col min="10034" max="10034" customWidth="1" bestFit="1" width="10.0" style="5"/>
    <col min="10035" max="10035" customWidth="1" bestFit="1" width="10.0" style="5"/>
    <col min="10036" max="10036" customWidth="1" bestFit="1" width="10.0" style="5"/>
    <col min="10037" max="10037" customWidth="1" bestFit="1" width="10.0" style="5"/>
    <col min="10038" max="10038" customWidth="1" bestFit="1" width="10.0" style="5"/>
    <col min="10039" max="10039" customWidth="1" bestFit="1" width="10.0" style="5"/>
    <col min="10040" max="10040" customWidth="1" bestFit="1" width="10.0" style="5"/>
    <col min="10041" max="10041" customWidth="1" bestFit="1" width="10.0" style="5"/>
    <col min="10042" max="10042" customWidth="1" bestFit="1" width="10.0" style="5"/>
    <col min="10043" max="10043" customWidth="1" bestFit="1" width="10.0" style="5"/>
    <col min="10044" max="10044" customWidth="1" bestFit="1" width="10.0" style="5"/>
    <col min="10045" max="10045" customWidth="1" bestFit="1" width="10.0" style="5"/>
    <col min="10046" max="10046" customWidth="1" bestFit="1" width="10.0" style="5"/>
    <col min="10047" max="10047" customWidth="1" bestFit="1" width="10.0" style="5"/>
    <col min="10048" max="10048" customWidth="1" bestFit="1" width="10.0" style="5"/>
    <col min="10049" max="10049" customWidth="1" bestFit="1" width="10.0" style="5"/>
    <col min="10050" max="10050" customWidth="1" bestFit="1" width="10.0" style="5"/>
    <col min="10051" max="10051" customWidth="1" bestFit="1" width="10.0" style="5"/>
    <col min="10052" max="10052" customWidth="1" bestFit="1" width="10.0" style="5"/>
    <col min="10053" max="10053" customWidth="1" bestFit="1" width="10.0" style="5"/>
    <col min="10054" max="10054" customWidth="1" bestFit="1" width="10.0" style="5"/>
    <col min="10055" max="10055" customWidth="1" bestFit="1" width="10.0" style="5"/>
    <col min="10056" max="10056" customWidth="1" bestFit="1" width="10.0" style="5"/>
    <col min="10057" max="10057" customWidth="1" bestFit="1" width="10.0" style="5"/>
    <col min="10058" max="10058" customWidth="1" bestFit="1" width="10.0" style="5"/>
    <col min="10059" max="10059" customWidth="1" bestFit="1" width="10.0" style="5"/>
    <col min="10060" max="10060" customWidth="1" bestFit="1" width="10.0" style="5"/>
    <col min="10061" max="10061" customWidth="1" bestFit="1" width="10.0" style="5"/>
    <col min="10062" max="10062" customWidth="1" bestFit="1" width="10.0" style="5"/>
    <col min="10063" max="10063" customWidth="1" bestFit="1" width="10.0" style="5"/>
    <col min="10064" max="10064" customWidth="1" bestFit="1" width="10.0" style="5"/>
    <col min="10065" max="10065" customWidth="1" bestFit="1" width="10.0" style="5"/>
    <col min="10066" max="10066" customWidth="1" bestFit="1" width="10.0" style="5"/>
    <col min="10067" max="10067" customWidth="1" bestFit="1" width="10.0" style="5"/>
    <col min="10068" max="10068" customWidth="1" bestFit="1" width="10.0" style="5"/>
    <col min="10069" max="10069" customWidth="1" bestFit="1" width="10.0" style="5"/>
    <col min="10070" max="10070" customWidth="1" bestFit="1" width="10.0" style="5"/>
    <col min="10071" max="10071" customWidth="1" bestFit="1" width="10.0" style="5"/>
    <col min="10072" max="10072" customWidth="1" bestFit="1" width="10.0" style="5"/>
    <col min="10073" max="10073" customWidth="1" bestFit="1" width="10.0" style="5"/>
    <col min="10074" max="10074" customWidth="1" bestFit="1" width="10.0" style="5"/>
    <col min="10075" max="10075" customWidth="1" bestFit="1" width="10.0" style="5"/>
    <col min="10076" max="10076" customWidth="1" bestFit="1" width="10.0" style="5"/>
    <col min="10077" max="10077" customWidth="1" bestFit="1" width="10.0" style="5"/>
    <col min="10078" max="10078" customWidth="1" bestFit="1" width="10.0" style="5"/>
    <col min="10079" max="10079" customWidth="1" bestFit="1" width="10.0" style="5"/>
    <col min="10080" max="10080" customWidth="1" bestFit="1" width="10.0" style="5"/>
    <col min="10081" max="10081" customWidth="1" bestFit="1" width="10.0" style="5"/>
    <col min="10082" max="10082" customWidth="1" bestFit="1" width="10.0" style="5"/>
    <col min="10083" max="10083" customWidth="1" bestFit="1" width="10.0" style="5"/>
    <col min="10084" max="10084" customWidth="1" bestFit="1" width="10.0" style="5"/>
    <col min="10085" max="10085" customWidth="1" bestFit="1" width="10.0" style="5"/>
    <col min="10086" max="10086" customWidth="1" bestFit="1" width="10.0" style="5"/>
    <col min="10087" max="10087" customWidth="1" bestFit="1" width="10.0" style="5"/>
    <col min="10088" max="10088" customWidth="1" bestFit="1" width="10.0" style="5"/>
    <col min="10089" max="10089" customWidth="1" bestFit="1" width="10.0" style="5"/>
    <col min="10090" max="10090" customWidth="1" bestFit="1" width="10.0" style="5"/>
    <col min="10091" max="10091" customWidth="1" bestFit="1" width="10.0" style="5"/>
    <col min="10092" max="10092" customWidth="1" bestFit="1" width="10.0" style="5"/>
    <col min="10093" max="10093" customWidth="1" bestFit="1" width="10.0" style="5"/>
    <col min="10094" max="10094" customWidth="1" bestFit="1" width="10.0" style="5"/>
    <col min="10095" max="10095" customWidth="1" bestFit="1" width="10.0" style="5"/>
    <col min="10096" max="10096" customWidth="1" bestFit="1" width="10.0" style="5"/>
    <col min="10097" max="10097" customWidth="1" bestFit="1" width="10.0" style="5"/>
    <col min="10098" max="10098" customWidth="1" bestFit="1" width="10.0" style="5"/>
    <col min="10099" max="10099" customWidth="1" bestFit="1" width="10.0" style="5"/>
    <col min="10100" max="10100" customWidth="1" bestFit="1" width="10.0" style="5"/>
    <col min="10101" max="10101" customWidth="1" bestFit="1" width="10.0" style="5"/>
    <col min="10102" max="10102" customWidth="1" bestFit="1" width="10.0" style="5"/>
    <col min="10103" max="10103" customWidth="1" bestFit="1" width="10.0" style="5"/>
    <col min="10104" max="10104" customWidth="1" bestFit="1" width="10.0" style="5"/>
    <col min="10105" max="10105" customWidth="1" bestFit="1" width="10.0" style="5"/>
    <col min="10106" max="10106" customWidth="1" bestFit="1" width="10.0" style="5"/>
    <col min="10107" max="10107" customWidth="1" bestFit="1" width="10.0" style="5"/>
    <col min="10108" max="10108" customWidth="1" bestFit="1" width="10.0" style="5"/>
    <col min="10109" max="10109" customWidth="1" bestFit="1" width="10.0" style="5"/>
    <col min="10110" max="10110" customWidth="1" bestFit="1" width="10.0" style="5"/>
    <col min="10111" max="10111" customWidth="1" bestFit="1" width="10.0" style="5"/>
    <col min="10112" max="10112" customWidth="1" bestFit="1" width="10.0" style="5"/>
    <col min="10113" max="10113" customWidth="1" bestFit="1" width="10.0" style="5"/>
    <col min="10114" max="10114" customWidth="1" bestFit="1" width="10.0" style="5"/>
    <col min="10115" max="10115" customWidth="1" bestFit="1" width="10.0" style="5"/>
    <col min="10116" max="10116" customWidth="1" bestFit="1" width="10.0" style="5"/>
    <col min="10117" max="10117" customWidth="1" bestFit="1" width="10.0" style="5"/>
    <col min="10118" max="10118" customWidth="1" bestFit="1" width="10.0" style="5"/>
    <col min="10119" max="10119" customWidth="1" bestFit="1" width="10.0" style="5"/>
    <col min="10120" max="10120" customWidth="1" bestFit="1" width="10.0" style="5"/>
    <col min="10121" max="10121" customWidth="1" bestFit="1" width="10.0" style="5"/>
    <col min="10122" max="10122" customWidth="1" bestFit="1" width="10.0" style="5"/>
    <col min="10123" max="10123" customWidth="1" bestFit="1" width="10.0" style="5"/>
    <col min="10124" max="10124" customWidth="1" bestFit="1" width="10.0" style="5"/>
    <col min="10125" max="10125" customWidth="1" bestFit="1" width="10.0" style="5"/>
    <col min="10126" max="10126" customWidth="1" bestFit="1" width="10.0" style="5"/>
    <col min="10127" max="10127" customWidth="1" bestFit="1" width="10.0" style="5"/>
    <col min="10128" max="10128" customWidth="1" bestFit="1" width="10.0" style="5"/>
    <col min="10129" max="10129" customWidth="1" bestFit="1" width="10.0" style="5"/>
    <col min="10130" max="10130" customWidth="1" bestFit="1" width="10.0" style="5"/>
    <col min="10131" max="10131" customWidth="1" bestFit="1" width="10.0" style="5"/>
    <col min="10132" max="10132" customWidth="1" bestFit="1" width="10.0" style="5"/>
    <col min="10133" max="10133" customWidth="1" bestFit="1" width="10.0" style="5"/>
    <col min="10134" max="10134" customWidth="1" bestFit="1" width="10.0" style="5"/>
    <col min="10135" max="10135" customWidth="1" bestFit="1" width="10.0" style="5"/>
    <col min="10136" max="10136" customWidth="1" bestFit="1" width="10.0" style="5"/>
    <col min="10137" max="10137" customWidth="1" bestFit="1" width="10.0" style="5"/>
    <col min="10138" max="10138" customWidth="1" bestFit="1" width="10.0" style="5"/>
    <col min="10139" max="10139" customWidth="1" bestFit="1" width="10.0" style="5"/>
    <col min="10140" max="10140" customWidth="1" bestFit="1" width="10.0" style="5"/>
    <col min="10141" max="10141" customWidth="1" bestFit="1" width="10.0" style="5"/>
    <col min="10142" max="10142" customWidth="1" bestFit="1" width="10.0" style="5"/>
    <col min="10143" max="10143" customWidth="1" bestFit="1" width="10.0" style="5"/>
    <col min="10144" max="10144" customWidth="1" bestFit="1" width="10.0" style="5"/>
    <col min="10145" max="10145" customWidth="1" bestFit="1" width="10.0" style="5"/>
    <col min="10146" max="10146" customWidth="1" bestFit="1" width="10.0" style="5"/>
    <col min="10147" max="10147" customWidth="1" bestFit="1" width="10.0" style="5"/>
    <col min="10148" max="10148" customWidth="1" bestFit="1" width="10.0" style="5"/>
    <col min="10149" max="10149" customWidth="1" bestFit="1" width="10.0" style="5"/>
    <col min="10150" max="10150" customWidth="1" bestFit="1" width="10.0" style="5"/>
    <col min="10151" max="10151" customWidth="1" bestFit="1" width="10.0" style="5"/>
    <col min="10152" max="10152" customWidth="1" bestFit="1" width="10.0" style="5"/>
    <col min="10153" max="10153" customWidth="1" bestFit="1" width="10.0" style="5"/>
    <col min="10154" max="10154" customWidth="1" bestFit="1" width="10.0" style="5"/>
    <col min="10155" max="10155" customWidth="1" bestFit="1" width="10.0" style="5"/>
    <col min="10156" max="10156" customWidth="1" bestFit="1" width="10.0" style="5"/>
    <col min="10157" max="10157" customWidth="1" bestFit="1" width="10.0" style="5"/>
    <col min="10158" max="10158" customWidth="1" bestFit="1" width="10.0" style="5"/>
    <col min="10159" max="10159" customWidth="1" bestFit="1" width="10.0" style="5"/>
    <col min="10160" max="10160" customWidth="1" bestFit="1" width="10.0" style="5"/>
    <col min="10161" max="10161" customWidth="1" bestFit="1" width="10.0" style="5"/>
    <col min="10162" max="10162" customWidth="1" bestFit="1" width="10.0" style="5"/>
    <col min="10163" max="10163" customWidth="1" bestFit="1" width="10.0" style="5"/>
    <col min="10164" max="10164" customWidth="1" bestFit="1" width="10.0" style="5"/>
    <col min="10165" max="10165" customWidth="1" bestFit="1" width="10.0" style="5"/>
    <col min="10166" max="10166" customWidth="1" bestFit="1" width="10.0" style="5"/>
    <col min="10167" max="10167" customWidth="1" bestFit="1" width="10.0" style="5"/>
    <col min="10168" max="10168" customWidth="1" bestFit="1" width="10.0" style="5"/>
    <col min="10169" max="10169" customWidth="1" bestFit="1" width="10.0" style="5"/>
    <col min="10170" max="10170" customWidth="1" bestFit="1" width="10.0" style="5"/>
    <col min="10171" max="10171" customWidth="1" bestFit="1" width="10.0" style="5"/>
    <col min="10172" max="10172" customWidth="1" bestFit="1" width="10.0" style="5"/>
    <col min="10173" max="10173" customWidth="1" bestFit="1" width="10.0" style="5"/>
    <col min="10174" max="10174" customWidth="1" bestFit="1" width="10.0" style="5"/>
    <col min="10175" max="10175" customWidth="1" bestFit="1" width="10.0" style="5"/>
    <col min="10176" max="10176" customWidth="1" bestFit="1" width="10.0" style="5"/>
    <col min="10177" max="10177" customWidth="1" bestFit="1" width="10.0" style="5"/>
    <col min="10178" max="10178" customWidth="1" bestFit="1" width="10.0" style="5"/>
    <col min="10179" max="10179" customWidth="1" bestFit="1" width="10.0" style="5"/>
    <col min="10180" max="10180" customWidth="1" bestFit="1" width="10.0" style="5"/>
    <col min="10181" max="10181" customWidth="1" bestFit="1" width="10.0" style="5"/>
    <col min="10182" max="10182" customWidth="1" bestFit="1" width="10.0" style="5"/>
    <col min="10183" max="10183" customWidth="1" bestFit="1" width="10.0" style="5"/>
    <col min="10184" max="10184" customWidth="1" bestFit="1" width="10.0" style="5"/>
    <col min="10185" max="10185" customWidth="1" bestFit="1" width="10.0" style="5"/>
    <col min="10186" max="10186" customWidth="1" bestFit="1" width="10.0" style="5"/>
    <col min="10187" max="10187" customWidth="1" bestFit="1" width="10.0" style="5"/>
    <col min="10188" max="10188" customWidth="1" bestFit="1" width="10.0" style="5"/>
    <col min="10189" max="10189" customWidth="1" bestFit="1" width="10.0" style="5"/>
    <col min="10190" max="10190" customWidth="1" bestFit="1" width="10.0" style="5"/>
    <col min="10191" max="10191" customWidth="1" bestFit="1" width="10.0" style="5"/>
    <col min="10192" max="10192" customWidth="1" bestFit="1" width="10.0" style="5"/>
    <col min="10193" max="10193" customWidth="1" bestFit="1" width="10.0" style="5"/>
    <col min="10194" max="10194" customWidth="1" bestFit="1" width="10.0" style="5"/>
    <col min="10195" max="10195" customWidth="1" bestFit="1" width="10.0" style="5"/>
    <col min="10196" max="10196" customWidth="1" bestFit="1" width="10.0" style="5"/>
    <col min="10197" max="10197" customWidth="1" bestFit="1" width="10.0" style="5"/>
    <col min="10198" max="10198" customWidth="1" bestFit="1" width="10.0" style="5"/>
    <col min="10199" max="10199" customWidth="1" bestFit="1" width="10.0" style="5"/>
    <col min="10200" max="10200" customWidth="1" bestFit="1" width="10.0" style="5"/>
    <col min="10201" max="10201" customWidth="1" bestFit="1" width="10.0" style="5"/>
    <col min="10202" max="10202" customWidth="1" bestFit="1" width="10.0" style="5"/>
    <col min="10203" max="10203" customWidth="1" bestFit="1" width="10.0" style="5"/>
    <col min="10204" max="10204" customWidth="1" bestFit="1" width="10.0" style="5"/>
    <col min="10205" max="10205" customWidth="1" bestFit="1" width="10.0" style="5"/>
    <col min="10206" max="10206" customWidth="1" bestFit="1" width="10.0" style="5"/>
    <col min="10207" max="10207" customWidth="1" bestFit="1" width="10.0" style="5"/>
    <col min="10208" max="10208" customWidth="1" bestFit="1" width="10.0" style="5"/>
    <col min="10209" max="10209" customWidth="1" bestFit="1" width="10.0" style="5"/>
    <col min="10210" max="10210" customWidth="1" bestFit="1" width="10.0" style="5"/>
    <col min="10211" max="10211" customWidth="1" bestFit="1" width="10.0" style="5"/>
    <col min="10212" max="10212" customWidth="1" bestFit="1" width="10.0" style="5"/>
    <col min="10213" max="10213" customWidth="1" bestFit="1" width="10.0" style="5"/>
    <col min="10214" max="10214" customWidth="1" bestFit="1" width="10.0" style="5"/>
    <col min="10215" max="10215" customWidth="1" bestFit="1" width="10.0" style="5"/>
    <col min="10216" max="10216" customWidth="1" bestFit="1" width="10.0" style="5"/>
    <col min="10217" max="10217" customWidth="1" bestFit="1" width="10.0" style="5"/>
    <col min="10218" max="10218" customWidth="1" bestFit="1" width="10.0" style="5"/>
    <col min="10219" max="10219" customWidth="1" bestFit="1" width="10.0" style="5"/>
    <col min="10220" max="10220" customWidth="1" bestFit="1" width="10.0" style="5"/>
    <col min="10221" max="10221" customWidth="1" bestFit="1" width="10.0" style="5"/>
    <col min="10222" max="10222" customWidth="1" bestFit="1" width="10.0" style="5"/>
    <col min="10223" max="10223" customWidth="1" bestFit="1" width="10.0" style="5"/>
    <col min="10224" max="10224" customWidth="1" bestFit="1" width="10.0" style="5"/>
    <col min="10225" max="10225" customWidth="1" bestFit="1" width="10.0" style="5"/>
    <col min="10226" max="10226" customWidth="1" bestFit="1" width="10.0" style="5"/>
    <col min="10227" max="10227" customWidth="1" bestFit="1" width="10.0" style="5"/>
    <col min="10228" max="10228" customWidth="1" bestFit="1" width="10.0" style="5"/>
    <col min="10229" max="10229" customWidth="1" bestFit="1" width="10.0" style="5"/>
    <col min="10230" max="10230" customWidth="1" bestFit="1" width="10.0" style="5"/>
    <col min="10231" max="10231" customWidth="1" bestFit="1" width="10.0" style="5"/>
    <col min="10232" max="10232" customWidth="1" bestFit="1" width="10.0" style="5"/>
    <col min="10233" max="10233" customWidth="1" bestFit="1" width="10.0" style="5"/>
    <col min="10234" max="10234" customWidth="1" bestFit="1" width="10.0" style="5"/>
    <col min="10235" max="10235" customWidth="1" bestFit="1" width="10.0" style="5"/>
    <col min="10236" max="10236" customWidth="1" bestFit="1" width="10.0" style="5"/>
    <col min="10237" max="10237" customWidth="1" bestFit="1" width="10.0" style="5"/>
    <col min="10238" max="10238" customWidth="1" bestFit="1" width="10.0" style="5"/>
    <col min="10239" max="10239" customWidth="1" bestFit="1" width="10.0" style="5"/>
    <col min="10240" max="10240" customWidth="1" bestFit="1" width="10.0" style="5"/>
    <col min="10241" max="10241" customWidth="1" bestFit="1" width="10.0" style="5"/>
    <col min="10242" max="10242" customWidth="1" bestFit="1" width="10.0" style="5"/>
    <col min="10243" max="10243" customWidth="1" bestFit="1" width="10.0" style="5"/>
    <col min="10244" max="10244" customWidth="1" bestFit="1" width="10.0" style="5"/>
    <col min="10245" max="10245" customWidth="1" bestFit="1" width="10.0" style="5"/>
    <col min="10246" max="10246" customWidth="1" bestFit="1" width="10.0" style="5"/>
    <col min="10247" max="10247" customWidth="1" bestFit="1" width="10.0" style="5"/>
    <col min="10248" max="10248" customWidth="1" bestFit="1" width="10.0" style="5"/>
    <col min="10249" max="10249" customWidth="1" bestFit="1" width="10.0" style="5"/>
    <col min="10250" max="10250" customWidth="1" bestFit="1" width="10.0" style="5"/>
    <col min="10251" max="10251" customWidth="1" bestFit="1" width="10.0" style="5"/>
    <col min="10252" max="10252" customWidth="1" bestFit="1" width="10.0" style="5"/>
    <col min="10253" max="10253" customWidth="1" bestFit="1" width="10.0" style="5"/>
    <col min="10254" max="10254" customWidth="1" bestFit="1" width="10.0" style="5"/>
    <col min="10255" max="10255" customWidth="1" bestFit="1" width="10.0" style="5"/>
    <col min="10256" max="10256" customWidth="1" bestFit="1" width="10.0" style="5"/>
    <col min="10257" max="10257" customWidth="1" bestFit="1" width="10.0" style="5"/>
    <col min="10258" max="10258" customWidth="1" bestFit="1" width="10.0" style="5"/>
    <col min="10259" max="10259" customWidth="1" bestFit="1" width="10.0" style="5"/>
    <col min="10260" max="10260" customWidth="1" bestFit="1" width="10.0" style="5"/>
    <col min="10261" max="10261" customWidth="1" bestFit="1" width="10.0" style="5"/>
    <col min="10262" max="10262" customWidth="1" bestFit="1" width="10.0" style="5"/>
    <col min="10263" max="10263" customWidth="1" bestFit="1" width="10.0" style="5"/>
    <col min="10264" max="10264" customWidth="1" bestFit="1" width="10.0" style="5"/>
    <col min="10265" max="10265" customWidth="1" bestFit="1" width="10.0" style="5"/>
    <col min="10266" max="10266" customWidth="1" bestFit="1" width="10.0" style="5"/>
    <col min="10267" max="10267" customWidth="1" bestFit="1" width="10.0" style="5"/>
    <col min="10268" max="10268" customWidth="1" bestFit="1" width="10.0" style="5"/>
    <col min="10269" max="10269" customWidth="1" bestFit="1" width="10.0" style="5"/>
    <col min="10270" max="10270" customWidth="1" bestFit="1" width="10.0" style="5"/>
    <col min="10271" max="10271" customWidth="1" bestFit="1" width="10.0" style="5"/>
    <col min="10272" max="10272" customWidth="1" bestFit="1" width="10.0" style="5"/>
    <col min="10273" max="10273" customWidth="1" bestFit="1" width="10.0" style="5"/>
    <col min="10274" max="10274" customWidth="1" bestFit="1" width="10.0" style="5"/>
    <col min="10275" max="10275" customWidth="1" bestFit="1" width="10.0" style="5"/>
    <col min="10276" max="10276" customWidth="1" bestFit="1" width="10.0" style="5"/>
    <col min="10277" max="10277" customWidth="1" bestFit="1" width="10.0" style="5"/>
    <col min="10278" max="10278" customWidth="1" bestFit="1" width="10.0" style="5"/>
    <col min="10279" max="10279" customWidth="1" bestFit="1" width="10.0" style="5"/>
    <col min="10280" max="10280" customWidth="1" bestFit="1" width="10.0" style="5"/>
    <col min="10281" max="10281" customWidth="1" bestFit="1" width="10.0" style="5"/>
    <col min="10282" max="10282" customWidth="1" bestFit="1" width="10.0" style="5"/>
    <col min="10283" max="10283" customWidth="1" bestFit="1" width="10.0" style="5"/>
    <col min="10284" max="10284" customWidth="1" bestFit="1" width="10.0" style="5"/>
    <col min="10285" max="10285" customWidth="1" bestFit="1" width="10.0" style="5"/>
    <col min="10286" max="10286" customWidth="1" bestFit="1" width="10.0" style="5"/>
    <col min="10287" max="10287" customWidth="1" bestFit="1" width="10.0" style="5"/>
    <col min="10288" max="10288" customWidth="1" bestFit="1" width="10.0" style="5"/>
    <col min="10289" max="10289" customWidth="1" bestFit="1" width="10.0" style="5"/>
    <col min="10290" max="10290" customWidth="1" bestFit="1" width="10.0" style="5"/>
    <col min="10291" max="10291" customWidth="1" bestFit="1" width="10.0" style="5"/>
    <col min="10292" max="10292" customWidth="1" bestFit="1" width="10.0" style="5"/>
    <col min="10293" max="10293" customWidth="1" bestFit="1" width="10.0" style="5"/>
    <col min="10294" max="10294" customWidth="1" bestFit="1" width="10.0" style="5"/>
    <col min="10295" max="10295" customWidth="1" bestFit="1" width="10.0" style="5"/>
    <col min="10296" max="10296" customWidth="1" bestFit="1" width="10.0" style="5"/>
    <col min="10297" max="10297" customWidth="1" bestFit="1" width="10.0" style="5"/>
    <col min="10298" max="10298" customWidth="1" bestFit="1" width="10.0" style="5"/>
    <col min="10299" max="10299" customWidth="1" bestFit="1" width="10.0" style="5"/>
    <col min="10300" max="10300" customWidth="1" bestFit="1" width="10.0" style="5"/>
    <col min="10301" max="10301" customWidth="1" bestFit="1" width="10.0" style="5"/>
    <col min="10302" max="10302" customWidth="1" bestFit="1" width="10.0" style="5"/>
    <col min="10303" max="10303" customWidth="1" bestFit="1" width="10.0" style="5"/>
    <col min="10304" max="10304" customWidth="1" bestFit="1" width="10.0" style="5"/>
    <col min="10305" max="10305" customWidth="1" bestFit="1" width="10.0" style="5"/>
    <col min="10306" max="10306" customWidth="1" bestFit="1" width="10.0" style="5"/>
    <col min="10307" max="10307" customWidth="1" bestFit="1" width="10.0" style="5"/>
    <col min="10308" max="10308" customWidth="1" bestFit="1" width="10.0" style="5"/>
    <col min="10309" max="10309" customWidth="1" bestFit="1" width="10.0" style="5"/>
    <col min="10310" max="10310" customWidth="1" bestFit="1" width="10.0" style="5"/>
    <col min="10311" max="10311" customWidth="1" bestFit="1" width="10.0" style="5"/>
    <col min="10312" max="10312" customWidth="1" bestFit="1" width="10.0" style="5"/>
    <col min="10313" max="10313" customWidth="1" bestFit="1" width="10.0" style="5"/>
    <col min="10314" max="10314" customWidth="1" bestFit="1" width="10.0" style="5"/>
    <col min="10315" max="10315" customWidth="1" bestFit="1" width="10.0" style="5"/>
    <col min="10316" max="10316" customWidth="1" bestFit="1" width="10.0" style="5"/>
    <col min="10317" max="10317" customWidth="1" bestFit="1" width="10.0" style="5"/>
    <col min="10318" max="10318" customWidth="1" bestFit="1" width="10.0" style="5"/>
    <col min="10319" max="10319" customWidth="1" bestFit="1" width="10.0" style="5"/>
    <col min="10320" max="10320" customWidth="1" bestFit="1" width="10.0" style="5"/>
    <col min="10321" max="10321" customWidth="1" bestFit="1" width="10.0" style="5"/>
    <col min="10322" max="10322" customWidth="1" bestFit="1" width="10.0" style="5"/>
    <col min="10323" max="10323" customWidth="1" bestFit="1" width="10.0" style="5"/>
    <col min="10324" max="10324" customWidth="1" bestFit="1" width="10.0" style="5"/>
    <col min="10325" max="10325" customWidth="1" bestFit="1" width="10.0" style="5"/>
    <col min="10326" max="10326" customWidth="1" bestFit="1" width="10.0" style="5"/>
    <col min="10327" max="10327" customWidth="1" bestFit="1" width="10.0" style="5"/>
    <col min="10328" max="10328" customWidth="1" bestFit="1" width="10.0" style="5"/>
    <col min="10329" max="10329" customWidth="1" bestFit="1" width="10.0" style="5"/>
    <col min="10330" max="10330" customWidth="1" bestFit="1" width="10.0" style="5"/>
    <col min="10331" max="10331" customWidth="1" bestFit="1" width="10.0" style="5"/>
    <col min="10332" max="10332" customWidth="1" bestFit="1" width="10.0" style="5"/>
    <col min="10333" max="10333" customWidth="1" bestFit="1" width="10.0" style="5"/>
    <col min="10334" max="10334" customWidth="1" bestFit="1" width="10.0" style="5"/>
    <col min="10335" max="10335" customWidth="1" bestFit="1" width="10.0" style="5"/>
    <col min="10336" max="10336" customWidth="1" bestFit="1" width="10.0" style="5"/>
    <col min="10337" max="10337" customWidth="1" bestFit="1" width="10.0" style="5"/>
    <col min="10338" max="10338" customWidth="1" bestFit="1" width="10.0" style="5"/>
    <col min="10339" max="10339" customWidth="1" bestFit="1" width="10.0" style="5"/>
    <col min="10340" max="10340" customWidth="1" bestFit="1" width="10.0" style="5"/>
    <col min="10341" max="10341" customWidth="1" bestFit="1" width="10.0" style="5"/>
    <col min="10342" max="10342" customWidth="1" bestFit="1" width="10.0" style="5"/>
    <col min="10343" max="10343" customWidth="1" bestFit="1" width="10.0" style="5"/>
    <col min="10344" max="10344" customWidth="1" bestFit="1" width="10.0" style="5"/>
    <col min="10345" max="10345" customWidth="1" bestFit="1" width="10.0" style="5"/>
    <col min="10346" max="10346" customWidth="1" bestFit="1" width="10.0" style="5"/>
    <col min="10347" max="10347" customWidth="1" bestFit="1" width="10.0" style="5"/>
    <col min="10348" max="10348" customWidth="1" bestFit="1" width="10.0" style="5"/>
    <col min="10349" max="10349" customWidth="1" bestFit="1" width="10.0" style="5"/>
    <col min="10350" max="10350" customWidth="1" bestFit="1" width="10.0" style="5"/>
    <col min="10351" max="10351" customWidth="1" bestFit="1" width="10.0" style="5"/>
    <col min="10352" max="10352" customWidth="1" bestFit="1" width="10.0" style="5"/>
    <col min="10353" max="10353" customWidth="1" bestFit="1" width="10.0" style="5"/>
    <col min="10354" max="10354" customWidth="1" bestFit="1" width="10.0" style="5"/>
    <col min="10355" max="10355" customWidth="1" bestFit="1" width="10.0" style="5"/>
    <col min="10356" max="10356" customWidth="1" bestFit="1" width="10.0" style="5"/>
    <col min="10357" max="10357" customWidth="1" bestFit="1" width="10.0" style="5"/>
    <col min="10358" max="10358" customWidth="1" bestFit="1" width="10.0" style="5"/>
    <col min="10359" max="10359" customWidth="1" bestFit="1" width="10.0" style="5"/>
    <col min="10360" max="10360" customWidth="1" bestFit="1" width="10.0" style="5"/>
    <col min="10361" max="10361" customWidth="1" bestFit="1" width="10.0" style="5"/>
    <col min="10362" max="10362" customWidth="1" bestFit="1" width="10.0" style="5"/>
    <col min="10363" max="10363" customWidth="1" bestFit="1" width="10.0" style="5"/>
    <col min="10364" max="10364" customWidth="1" bestFit="1" width="10.0" style="5"/>
    <col min="10365" max="10365" customWidth="1" bestFit="1" width="10.0" style="5"/>
    <col min="10366" max="10366" customWidth="1" bestFit="1" width="10.0" style="5"/>
    <col min="10367" max="10367" customWidth="1" bestFit="1" width="10.0" style="5"/>
    <col min="10368" max="10368" customWidth="1" bestFit="1" width="10.0" style="5"/>
    <col min="10369" max="10369" customWidth="1" bestFit="1" width="10.0" style="5"/>
    <col min="10370" max="10370" customWidth="1" bestFit="1" width="10.0" style="5"/>
    <col min="10371" max="10371" customWidth="1" bestFit="1" width="10.0" style="5"/>
    <col min="10372" max="10372" customWidth="1" bestFit="1" width="10.0" style="5"/>
    <col min="10373" max="10373" customWidth="1" bestFit="1" width="10.0" style="5"/>
    <col min="10374" max="10374" customWidth="1" bestFit="1" width="10.0" style="5"/>
    <col min="10375" max="10375" customWidth="1" bestFit="1" width="10.0" style="5"/>
    <col min="10376" max="10376" customWidth="1" bestFit="1" width="10.0" style="5"/>
    <col min="10377" max="10377" customWidth="1" bestFit="1" width="10.0" style="5"/>
    <col min="10378" max="10378" customWidth="1" bestFit="1" width="10.0" style="5"/>
    <col min="10379" max="10379" customWidth="1" bestFit="1" width="10.0" style="5"/>
    <col min="10380" max="10380" customWidth="1" bestFit="1" width="10.0" style="5"/>
    <col min="10381" max="10381" customWidth="1" bestFit="1" width="10.0" style="5"/>
    <col min="10382" max="10382" customWidth="1" bestFit="1" width="10.0" style="5"/>
    <col min="10383" max="10383" customWidth="1" bestFit="1" width="10.0" style="5"/>
    <col min="10384" max="10384" customWidth="1" bestFit="1" width="10.0" style="5"/>
    <col min="10385" max="10385" customWidth="1" bestFit="1" width="10.0" style="5"/>
    <col min="10386" max="10386" customWidth="1" bestFit="1" width="10.0" style="5"/>
    <col min="10387" max="10387" customWidth="1" bestFit="1" width="10.0" style="5"/>
    <col min="10388" max="10388" customWidth="1" bestFit="1" width="10.0" style="5"/>
    <col min="10389" max="10389" customWidth="1" bestFit="1" width="10.0" style="5"/>
    <col min="10390" max="10390" customWidth="1" bestFit="1" width="10.0" style="5"/>
    <col min="10391" max="10391" customWidth="1" bestFit="1" width="10.0" style="5"/>
    <col min="10392" max="10392" customWidth="1" bestFit="1" width="10.0" style="5"/>
    <col min="10393" max="10393" customWidth="1" bestFit="1" width="10.0" style="5"/>
    <col min="10394" max="10394" customWidth="1" bestFit="1" width="10.0" style="5"/>
    <col min="10395" max="10395" customWidth="1" bestFit="1" width="10.0" style="5"/>
    <col min="10396" max="10396" customWidth="1" bestFit="1" width="10.0" style="5"/>
    <col min="10397" max="10397" customWidth="1" bestFit="1" width="10.0" style="5"/>
    <col min="10398" max="10398" customWidth="1" bestFit="1" width="10.0" style="5"/>
    <col min="10399" max="10399" customWidth="1" bestFit="1" width="10.0" style="5"/>
    <col min="10400" max="10400" customWidth="1" bestFit="1" width="10.0" style="5"/>
    <col min="10401" max="10401" customWidth="1" bestFit="1" width="10.0" style="5"/>
    <col min="10402" max="10402" customWidth="1" bestFit="1" width="10.0" style="5"/>
    <col min="10403" max="10403" customWidth="1" bestFit="1" width="10.0" style="5"/>
    <col min="10404" max="10404" customWidth="1" bestFit="1" width="10.0" style="5"/>
    <col min="10405" max="10405" customWidth="1" bestFit="1" width="10.0" style="5"/>
    <col min="10406" max="10406" customWidth="1" bestFit="1" width="10.0" style="5"/>
    <col min="10407" max="10407" customWidth="1" bestFit="1" width="10.0" style="5"/>
    <col min="10408" max="10408" customWidth="1" bestFit="1" width="10.0" style="5"/>
    <col min="10409" max="10409" customWidth="1" bestFit="1" width="10.0" style="5"/>
    <col min="10410" max="10410" customWidth="1" bestFit="1" width="10.0" style="5"/>
    <col min="10411" max="10411" customWidth="1" bestFit="1" width="10.0" style="5"/>
    <col min="10412" max="10412" customWidth="1" bestFit="1" width="10.0" style="5"/>
    <col min="10413" max="10413" customWidth="1" bestFit="1" width="10.0" style="5"/>
    <col min="10414" max="10414" customWidth="1" bestFit="1" width="10.0" style="5"/>
    <col min="10415" max="10415" customWidth="1" bestFit="1" width="10.0" style="5"/>
    <col min="10416" max="10416" customWidth="1" bestFit="1" width="10.0" style="5"/>
    <col min="10417" max="10417" customWidth="1" bestFit="1" width="10.0" style="5"/>
    <col min="10418" max="10418" customWidth="1" bestFit="1" width="10.0" style="5"/>
    <col min="10419" max="10419" customWidth="1" bestFit="1" width="10.0" style="5"/>
    <col min="10420" max="10420" customWidth="1" bestFit="1" width="10.0" style="5"/>
    <col min="10421" max="10421" customWidth="1" bestFit="1" width="10.0" style="5"/>
    <col min="10422" max="10422" customWidth="1" bestFit="1" width="10.0" style="5"/>
    <col min="10423" max="10423" customWidth="1" bestFit="1" width="10.0" style="5"/>
    <col min="10424" max="10424" customWidth="1" bestFit="1" width="10.0" style="5"/>
    <col min="10425" max="10425" customWidth="1" bestFit="1" width="10.0" style="5"/>
    <col min="10426" max="10426" customWidth="1" bestFit="1" width="10.0" style="5"/>
    <col min="10427" max="10427" customWidth="1" bestFit="1" width="10.0" style="5"/>
    <col min="10428" max="10428" customWidth="1" bestFit="1" width="10.0" style="5"/>
    <col min="10429" max="10429" customWidth="1" bestFit="1" width="10.0" style="5"/>
    <col min="10430" max="10430" customWidth="1" bestFit="1" width="10.0" style="5"/>
    <col min="10431" max="10431" customWidth="1" bestFit="1" width="10.0" style="5"/>
    <col min="10432" max="10432" customWidth="1" bestFit="1" width="10.0" style="5"/>
    <col min="10433" max="10433" customWidth="1" bestFit="1" width="10.0" style="5"/>
    <col min="10434" max="10434" customWidth="1" bestFit="1" width="10.0" style="5"/>
    <col min="10435" max="10435" customWidth="1" bestFit="1" width="10.0" style="5"/>
    <col min="10436" max="10436" customWidth="1" bestFit="1" width="10.0" style="5"/>
    <col min="10437" max="10437" customWidth="1" bestFit="1" width="10.0" style="5"/>
    <col min="10438" max="10438" customWidth="1" bestFit="1" width="10.0" style="5"/>
    <col min="10439" max="10439" customWidth="1" bestFit="1" width="10.0" style="5"/>
    <col min="10440" max="10440" customWidth="1" bestFit="1" width="10.0" style="5"/>
    <col min="10441" max="10441" customWidth="1" bestFit="1" width="10.0" style="5"/>
    <col min="10442" max="10442" customWidth="1" bestFit="1" width="10.0" style="5"/>
    <col min="10443" max="10443" customWidth="1" bestFit="1" width="10.0" style="5"/>
    <col min="10444" max="10444" customWidth="1" bestFit="1" width="10.0" style="5"/>
    <col min="10445" max="10445" customWidth="1" bestFit="1" width="10.0" style="5"/>
    <col min="10446" max="10446" customWidth="1" bestFit="1" width="10.0" style="5"/>
    <col min="10447" max="10447" customWidth="1" bestFit="1" width="10.0" style="5"/>
    <col min="10448" max="10448" customWidth="1" bestFit="1" width="10.0" style="5"/>
    <col min="10449" max="10449" customWidth="1" bestFit="1" width="10.0" style="5"/>
    <col min="10450" max="10450" customWidth="1" bestFit="1" width="10.0" style="5"/>
    <col min="10451" max="10451" customWidth="1" bestFit="1" width="10.0" style="5"/>
    <col min="10452" max="10452" customWidth="1" bestFit="1" width="10.0" style="5"/>
    <col min="10453" max="10453" customWidth="1" bestFit="1" width="10.0" style="5"/>
    <col min="10454" max="10454" customWidth="1" bestFit="1" width="10.0" style="5"/>
    <col min="10455" max="10455" customWidth="1" bestFit="1" width="10.0" style="5"/>
    <col min="10456" max="10456" customWidth="1" bestFit="1" width="10.0" style="5"/>
    <col min="10457" max="10457" customWidth="1" bestFit="1" width="10.0" style="5"/>
    <col min="10458" max="10458" customWidth="1" bestFit="1" width="10.0" style="5"/>
    <col min="10459" max="10459" customWidth="1" bestFit="1" width="10.0" style="5"/>
    <col min="10460" max="10460" customWidth="1" bestFit="1" width="10.0" style="5"/>
    <col min="10461" max="10461" customWidth="1" bestFit="1" width="10.0" style="5"/>
    <col min="10462" max="10462" customWidth="1" bestFit="1" width="10.0" style="5"/>
    <col min="10463" max="10463" customWidth="1" bestFit="1" width="10.0" style="5"/>
    <col min="10464" max="10464" customWidth="1" bestFit="1" width="10.0" style="5"/>
    <col min="10465" max="10465" customWidth="1" bestFit="1" width="10.0" style="5"/>
    <col min="10466" max="10466" customWidth="1" bestFit="1" width="10.0" style="5"/>
    <col min="10467" max="10467" customWidth="1" bestFit="1" width="10.0" style="5"/>
    <col min="10468" max="10468" customWidth="1" bestFit="1" width="10.0" style="5"/>
    <col min="10469" max="10469" customWidth="1" bestFit="1" width="10.0" style="5"/>
    <col min="10470" max="10470" customWidth="1" bestFit="1" width="10.0" style="5"/>
    <col min="10471" max="10471" customWidth="1" bestFit="1" width="10.0" style="5"/>
    <col min="10472" max="10472" customWidth="1" bestFit="1" width="10.0" style="5"/>
    <col min="10473" max="10473" customWidth="1" bestFit="1" width="10.0" style="5"/>
    <col min="10474" max="10474" customWidth="1" bestFit="1" width="10.0" style="5"/>
    <col min="10475" max="10475" customWidth="1" bestFit="1" width="10.0" style="5"/>
    <col min="10476" max="10476" customWidth="1" bestFit="1" width="10.0" style="5"/>
    <col min="10477" max="10477" customWidth="1" bestFit="1" width="10.0" style="5"/>
    <col min="10478" max="10478" customWidth="1" bestFit="1" width="10.0" style="5"/>
    <col min="10479" max="10479" customWidth="1" bestFit="1" width="10.0" style="5"/>
    <col min="10480" max="10480" customWidth="1" bestFit="1" width="10.0" style="5"/>
    <col min="10481" max="10481" customWidth="1" bestFit="1" width="10.0" style="5"/>
    <col min="10482" max="10482" customWidth="1" bestFit="1" width="10.0" style="5"/>
    <col min="10483" max="10483" customWidth="1" bestFit="1" width="10.0" style="5"/>
    <col min="10484" max="10484" customWidth="1" bestFit="1" width="10.0" style="5"/>
    <col min="10485" max="10485" customWidth="1" bestFit="1" width="10.0" style="5"/>
    <col min="10486" max="10486" customWidth="1" bestFit="1" width="10.0" style="5"/>
    <col min="10487" max="10487" customWidth="1" bestFit="1" width="10.0" style="5"/>
    <col min="10488" max="10488" customWidth="1" bestFit="1" width="10.0" style="5"/>
    <col min="10489" max="10489" customWidth="1" bestFit="1" width="10.0" style="5"/>
    <col min="10490" max="10490" customWidth="1" bestFit="1" width="10.0" style="5"/>
    <col min="10491" max="10491" customWidth="1" bestFit="1" width="10.0" style="5"/>
    <col min="10492" max="10492" customWidth="1" bestFit="1" width="10.0" style="5"/>
    <col min="10493" max="10493" customWidth="1" bestFit="1" width="10.0" style="5"/>
    <col min="10494" max="10494" customWidth="1" bestFit="1" width="10.0" style="5"/>
    <col min="10495" max="10495" customWidth="1" bestFit="1" width="10.0" style="5"/>
    <col min="10496" max="10496" customWidth="1" bestFit="1" width="10.0" style="5"/>
    <col min="10497" max="10497" customWidth="1" bestFit="1" width="10.0" style="5"/>
    <col min="10498" max="10498" customWidth="1" bestFit="1" width="10.0" style="5"/>
    <col min="10499" max="10499" customWidth="1" bestFit="1" width="10.0" style="5"/>
    <col min="10500" max="10500" customWidth="1" bestFit="1" width="10.0" style="5"/>
    <col min="10501" max="10501" customWidth="1" bestFit="1" width="10.0" style="5"/>
    <col min="10502" max="10502" customWidth="1" bestFit="1" width="10.0" style="5"/>
    <col min="10503" max="10503" customWidth="1" bestFit="1" width="10.0" style="5"/>
    <col min="10504" max="10504" customWidth="1" bestFit="1" width="10.0" style="5"/>
    <col min="10505" max="10505" customWidth="1" bestFit="1" width="10.0" style="5"/>
    <col min="10506" max="10506" customWidth="1" bestFit="1" width="10.0" style="5"/>
    <col min="10507" max="10507" customWidth="1" bestFit="1" width="10.0" style="5"/>
    <col min="10508" max="10508" customWidth="1" bestFit="1" width="10.0" style="5"/>
    <col min="10509" max="10509" customWidth="1" bestFit="1" width="10.0" style="5"/>
    <col min="10510" max="10510" customWidth="1" bestFit="1" width="10.0" style="5"/>
    <col min="10511" max="10511" customWidth="1" bestFit="1" width="10.0" style="5"/>
    <col min="10512" max="10512" customWidth="1" bestFit="1" width="10.0" style="5"/>
    <col min="10513" max="10513" customWidth="1" bestFit="1" width="10.0" style="5"/>
    <col min="10514" max="10514" customWidth="1" bestFit="1" width="10.0" style="5"/>
    <col min="10515" max="10515" customWidth="1" bestFit="1" width="10.0" style="5"/>
    <col min="10516" max="10516" customWidth="1" bestFit="1" width="10.0" style="5"/>
    <col min="10517" max="10517" customWidth="1" bestFit="1" width="10.0" style="5"/>
    <col min="10518" max="10518" customWidth="1" bestFit="1" width="10.0" style="5"/>
    <col min="10519" max="10519" customWidth="1" bestFit="1" width="10.0" style="5"/>
    <col min="10520" max="10520" customWidth="1" bestFit="1" width="10.0" style="5"/>
    <col min="10521" max="10521" customWidth="1" bestFit="1" width="10.0" style="5"/>
    <col min="10522" max="10522" customWidth="1" bestFit="1" width="10.0" style="5"/>
    <col min="10523" max="10523" customWidth="1" bestFit="1" width="10.0" style="5"/>
    <col min="10524" max="10524" customWidth="1" bestFit="1" width="10.0" style="5"/>
    <col min="10525" max="10525" customWidth="1" bestFit="1" width="10.0" style="5"/>
    <col min="10526" max="10526" customWidth="1" bestFit="1" width="10.0" style="5"/>
    <col min="10527" max="10527" customWidth="1" bestFit="1" width="10.0" style="5"/>
    <col min="10528" max="10528" customWidth="1" bestFit="1" width="10.0" style="5"/>
    <col min="10529" max="10529" customWidth="1" bestFit="1" width="10.0" style="5"/>
    <col min="10530" max="10530" customWidth="1" bestFit="1" width="10.0" style="5"/>
    <col min="10531" max="10531" customWidth="1" bestFit="1" width="10.0" style="5"/>
    <col min="10532" max="10532" customWidth="1" bestFit="1" width="10.0" style="5"/>
    <col min="10533" max="10533" customWidth="1" bestFit="1" width="10.0" style="5"/>
    <col min="10534" max="10534" customWidth="1" bestFit="1" width="10.0" style="5"/>
    <col min="10535" max="10535" customWidth="1" bestFit="1" width="10.0" style="5"/>
    <col min="10536" max="10536" customWidth="1" bestFit="1" width="10.0" style="5"/>
    <col min="10537" max="10537" customWidth="1" bestFit="1" width="10.0" style="5"/>
    <col min="10538" max="10538" customWidth="1" bestFit="1" width="10.0" style="5"/>
    <col min="10539" max="10539" customWidth="1" bestFit="1" width="10.0" style="5"/>
    <col min="10540" max="10540" customWidth="1" bestFit="1" width="10.0" style="5"/>
    <col min="10541" max="10541" customWidth="1" bestFit="1" width="10.0" style="5"/>
    <col min="10542" max="10542" customWidth="1" bestFit="1" width="10.0" style="5"/>
    <col min="10543" max="10543" customWidth="1" bestFit="1" width="10.0" style="5"/>
    <col min="10544" max="10544" customWidth="1" bestFit="1" width="10.0" style="5"/>
    <col min="10545" max="10545" customWidth="1" bestFit="1" width="10.0" style="5"/>
    <col min="10546" max="10546" customWidth="1" bestFit="1" width="10.0" style="5"/>
    <col min="10547" max="10547" customWidth="1" bestFit="1" width="10.0" style="5"/>
    <col min="10548" max="10548" customWidth="1" bestFit="1" width="10.0" style="5"/>
    <col min="10549" max="10549" customWidth="1" bestFit="1" width="10.0" style="5"/>
    <col min="10550" max="10550" customWidth="1" bestFit="1" width="10.0" style="5"/>
    <col min="10551" max="10551" customWidth="1" bestFit="1" width="10.0" style="5"/>
    <col min="10552" max="10552" customWidth="1" bestFit="1" width="10.0" style="5"/>
    <col min="10553" max="10553" customWidth="1" bestFit="1" width="10.0" style="5"/>
    <col min="10554" max="10554" customWidth="1" bestFit="1" width="10.0" style="5"/>
    <col min="10555" max="10555" customWidth="1" bestFit="1" width="10.0" style="5"/>
    <col min="10556" max="10556" customWidth="1" bestFit="1" width="10.0" style="5"/>
    <col min="10557" max="10557" customWidth="1" bestFit="1" width="10.0" style="5"/>
    <col min="10558" max="10558" customWidth="1" bestFit="1" width="10.0" style="5"/>
    <col min="10559" max="10559" customWidth="1" bestFit="1" width="10.0" style="5"/>
    <col min="10560" max="10560" customWidth="1" bestFit="1" width="10.0" style="5"/>
    <col min="10561" max="10561" customWidth="1" bestFit="1" width="10.0" style="5"/>
    <col min="10562" max="10562" customWidth="1" bestFit="1" width="10.0" style="5"/>
    <col min="10563" max="10563" customWidth="1" bestFit="1" width="10.0" style="5"/>
    <col min="10564" max="10564" customWidth="1" bestFit="1" width="10.0" style="5"/>
    <col min="10565" max="10565" customWidth="1" bestFit="1" width="10.0" style="5"/>
    <col min="10566" max="10566" customWidth="1" bestFit="1" width="10.0" style="5"/>
    <col min="10567" max="10567" customWidth="1" bestFit="1" width="10.0" style="5"/>
    <col min="10568" max="10568" customWidth="1" bestFit="1" width="10.0" style="5"/>
    <col min="10569" max="10569" customWidth="1" bestFit="1" width="10.0" style="5"/>
    <col min="10570" max="10570" customWidth="1" bestFit="1" width="10.0" style="5"/>
    <col min="10571" max="10571" customWidth="1" bestFit="1" width="10.0" style="5"/>
    <col min="10572" max="10572" customWidth="1" bestFit="1" width="10.0" style="5"/>
    <col min="10573" max="10573" customWidth="1" bestFit="1" width="10.0" style="5"/>
    <col min="10574" max="10574" customWidth="1" bestFit="1" width="10.0" style="5"/>
    <col min="10575" max="10575" customWidth="1" bestFit="1" width="10.0" style="5"/>
    <col min="10576" max="10576" customWidth="1" bestFit="1" width="10.0" style="5"/>
    <col min="10577" max="10577" customWidth="1" bestFit="1" width="10.0" style="5"/>
    <col min="10578" max="10578" customWidth="1" bestFit="1" width="10.0" style="5"/>
    <col min="10579" max="10579" customWidth="1" bestFit="1" width="10.0" style="5"/>
    <col min="10580" max="10580" customWidth="1" bestFit="1" width="10.0" style="5"/>
    <col min="10581" max="10581" customWidth="1" bestFit="1" width="10.0" style="5"/>
    <col min="10582" max="10582" customWidth="1" bestFit="1" width="10.0" style="5"/>
    <col min="10583" max="10583" customWidth="1" bestFit="1" width="10.0" style="5"/>
    <col min="10584" max="10584" customWidth="1" bestFit="1" width="10.0" style="5"/>
    <col min="10585" max="10585" customWidth="1" bestFit="1" width="10.0" style="5"/>
    <col min="10586" max="10586" customWidth="1" bestFit="1" width="10.0" style="5"/>
    <col min="10587" max="10587" customWidth="1" bestFit="1" width="10.0" style="5"/>
    <col min="10588" max="10588" customWidth="1" bestFit="1" width="10.0" style="5"/>
    <col min="10589" max="10589" customWidth="1" bestFit="1" width="10.0" style="5"/>
    <col min="10590" max="10590" customWidth="1" bestFit="1" width="10.0" style="5"/>
    <col min="10591" max="10591" customWidth="1" bestFit="1" width="10.0" style="5"/>
    <col min="10592" max="10592" customWidth="1" bestFit="1" width="10.0" style="5"/>
    <col min="10593" max="10593" customWidth="1" bestFit="1" width="10.0" style="5"/>
    <col min="10594" max="10594" customWidth="1" bestFit="1" width="10.0" style="5"/>
    <col min="10595" max="10595" customWidth="1" bestFit="1" width="10.0" style="5"/>
    <col min="10596" max="10596" customWidth="1" bestFit="1" width="10.0" style="5"/>
    <col min="10597" max="10597" customWidth="1" bestFit="1" width="10.0" style="5"/>
    <col min="10598" max="10598" customWidth="1" bestFit="1" width="10.0" style="5"/>
    <col min="10599" max="10599" customWidth="1" bestFit="1" width="10.0" style="5"/>
    <col min="10600" max="10600" customWidth="1" bestFit="1" width="10.0" style="5"/>
    <col min="10601" max="10601" customWidth="1" bestFit="1" width="10.0" style="5"/>
    <col min="10602" max="10602" customWidth="1" bestFit="1" width="10.0" style="5"/>
    <col min="10603" max="10603" customWidth="1" bestFit="1" width="10.0" style="5"/>
    <col min="10604" max="10604" customWidth="1" bestFit="1" width="10.0" style="5"/>
    <col min="10605" max="10605" customWidth="1" bestFit="1" width="10.0" style="5"/>
    <col min="10606" max="10606" customWidth="1" bestFit="1" width="10.0" style="5"/>
    <col min="10607" max="10607" customWidth="1" bestFit="1" width="10.0" style="5"/>
    <col min="10608" max="10608" customWidth="1" bestFit="1" width="10.0" style="5"/>
    <col min="10609" max="10609" customWidth="1" bestFit="1" width="10.0" style="5"/>
    <col min="10610" max="10610" customWidth="1" bestFit="1" width="10.0" style="5"/>
    <col min="10611" max="10611" customWidth="1" bestFit="1" width="10.0" style="5"/>
    <col min="10612" max="10612" customWidth="1" bestFit="1" width="10.0" style="5"/>
    <col min="10613" max="10613" customWidth="1" bestFit="1" width="10.0" style="5"/>
    <col min="10614" max="10614" customWidth="1" bestFit="1" width="10.0" style="5"/>
    <col min="10615" max="10615" customWidth="1" bestFit="1" width="10.0" style="5"/>
    <col min="10616" max="10616" customWidth="1" bestFit="1" width="10.0" style="5"/>
    <col min="10617" max="10617" customWidth="1" bestFit="1" width="10.0" style="5"/>
    <col min="10618" max="10618" customWidth="1" bestFit="1" width="10.0" style="5"/>
    <col min="10619" max="10619" customWidth="1" bestFit="1" width="10.0" style="5"/>
    <col min="10620" max="10620" customWidth="1" bestFit="1" width="10.0" style="5"/>
    <col min="10621" max="10621" customWidth="1" bestFit="1" width="10.0" style="5"/>
    <col min="10622" max="10622" customWidth="1" bestFit="1" width="10.0" style="5"/>
    <col min="10623" max="10623" customWidth="1" bestFit="1" width="10.0" style="5"/>
    <col min="10624" max="10624" customWidth="1" bestFit="1" width="10.0" style="5"/>
    <col min="10625" max="10625" customWidth="1" bestFit="1" width="10.0" style="5"/>
    <col min="10626" max="10626" customWidth="1" bestFit="1" width="10.0" style="5"/>
    <col min="10627" max="10627" customWidth="1" bestFit="1" width="10.0" style="5"/>
    <col min="10628" max="10628" customWidth="1" bestFit="1" width="10.0" style="5"/>
    <col min="10629" max="10629" customWidth="1" bestFit="1" width="10.0" style="5"/>
    <col min="10630" max="10630" customWidth="1" bestFit="1" width="10.0" style="5"/>
    <col min="10631" max="10631" customWidth="1" bestFit="1" width="10.0" style="5"/>
    <col min="10632" max="10632" customWidth="1" bestFit="1" width="10.0" style="5"/>
    <col min="10633" max="10633" customWidth="1" bestFit="1" width="10.0" style="5"/>
    <col min="10634" max="10634" customWidth="1" bestFit="1" width="10.0" style="5"/>
    <col min="10635" max="10635" customWidth="1" bestFit="1" width="10.0" style="5"/>
    <col min="10636" max="10636" customWidth="1" bestFit="1" width="10.0" style="5"/>
    <col min="10637" max="10637" customWidth="1" bestFit="1" width="10.0" style="5"/>
    <col min="10638" max="10638" customWidth="1" bestFit="1" width="10.0" style="5"/>
    <col min="10639" max="10639" customWidth="1" bestFit="1" width="10.0" style="5"/>
    <col min="10640" max="10640" customWidth="1" bestFit="1" width="10.0" style="5"/>
    <col min="10641" max="10641" customWidth="1" bestFit="1" width="10.0" style="5"/>
    <col min="10642" max="10642" customWidth="1" bestFit="1" width="10.0" style="5"/>
    <col min="10643" max="10643" customWidth="1" bestFit="1" width="10.0" style="5"/>
    <col min="10644" max="10644" customWidth="1" bestFit="1" width="10.0" style="5"/>
    <col min="10645" max="10645" customWidth="1" bestFit="1" width="10.0" style="5"/>
    <col min="10646" max="10646" customWidth="1" bestFit="1" width="10.0" style="5"/>
    <col min="10647" max="10647" customWidth="1" bestFit="1" width="10.0" style="5"/>
    <col min="10648" max="10648" customWidth="1" bestFit="1" width="10.0" style="5"/>
    <col min="10649" max="10649" customWidth="1" bestFit="1" width="10.0" style="5"/>
    <col min="10650" max="10650" customWidth="1" bestFit="1" width="10.0" style="5"/>
    <col min="10651" max="10651" customWidth="1" bestFit="1" width="10.0" style="5"/>
    <col min="10652" max="10652" customWidth="1" bestFit="1" width="10.0" style="5"/>
    <col min="10653" max="10653" customWidth="1" bestFit="1" width="10.0" style="5"/>
    <col min="10654" max="10654" customWidth="1" bestFit="1" width="10.0" style="5"/>
    <col min="10655" max="10655" customWidth="1" bestFit="1" width="10.0" style="5"/>
    <col min="10656" max="10656" customWidth="1" bestFit="1" width="10.0" style="5"/>
    <col min="10657" max="10657" customWidth="1" bestFit="1" width="10.0" style="5"/>
    <col min="10658" max="10658" customWidth="1" bestFit="1" width="10.0" style="5"/>
    <col min="10659" max="10659" customWidth="1" bestFit="1" width="10.0" style="5"/>
    <col min="10660" max="10660" customWidth="1" bestFit="1" width="10.0" style="5"/>
    <col min="10661" max="10661" customWidth="1" bestFit="1" width="10.0" style="5"/>
    <col min="10662" max="10662" customWidth="1" bestFit="1" width="10.0" style="5"/>
    <col min="10663" max="10663" customWidth="1" bestFit="1" width="10.0" style="5"/>
    <col min="10664" max="10664" customWidth="1" bestFit="1" width="10.0" style="5"/>
    <col min="10665" max="10665" customWidth="1" bestFit="1" width="10.0" style="5"/>
    <col min="10666" max="10666" customWidth="1" bestFit="1" width="10.0" style="5"/>
    <col min="10667" max="10667" customWidth="1" bestFit="1" width="10.0" style="5"/>
    <col min="10668" max="10668" customWidth="1" bestFit="1" width="10.0" style="5"/>
    <col min="10669" max="10669" customWidth="1" bestFit="1" width="10.0" style="5"/>
    <col min="10670" max="10670" customWidth="1" bestFit="1" width="10.0" style="5"/>
    <col min="10671" max="10671" customWidth="1" bestFit="1" width="10.0" style="5"/>
    <col min="10672" max="10672" customWidth="1" bestFit="1" width="10.0" style="5"/>
    <col min="10673" max="10673" customWidth="1" bestFit="1" width="10.0" style="5"/>
    <col min="10674" max="10674" customWidth="1" bestFit="1" width="10.0" style="5"/>
    <col min="10675" max="10675" customWidth="1" bestFit="1" width="10.0" style="5"/>
    <col min="10676" max="10676" customWidth="1" bestFit="1" width="10.0" style="5"/>
    <col min="10677" max="10677" customWidth="1" bestFit="1" width="10.0" style="5"/>
    <col min="10678" max="10678" customWidth="1" bestFit="1" width="10.0" style="5"/>
    <col min="10679" max="10679" customWidth="1" bestFit="1" width="10.0" style="5"/>
    <col min="10680" max="10680" customWidth="1" bestFit="1" width="10.0" style="5"/>
    <col min="10681" max="10681" customWidth="1" bestFit="1" width="10.0" style="5"/>
    <col min="10682" max="10682" customWidth="1" bestFit="1" width="10.0" style="5"/>
    <col min="10683" max="10683" customWidth="1" bestFit="1" width="10.0" style="5"/>
    <col min="10684" max="10684" customWidth="1" bestFit="1" width="10.0" style="5"/>
    <col min="10685" max="10685" customWidth="1" bestFit="1" width="10.0" style="5"/>
    <col min="10686" max="10686" customWidth="1" bestFit="1" width="10.0" style="5"/>
    <col min="10687" max="10687" customWidth="1" bestFit="1" width="10.0" style="5"/>
    <col min="10688" max="10688" customWidth="1" bestFit="1" width="10.0" style="5"/>
    <col min="10689" max="10689" customWidth="1" bestFit="1" width="10.0" style="5"/>
    <col min="10690" max="10690" customWidth="1" bestFit="1" width="10.0" style="5"/>
    <col min="10691" max="10691" customWidth="1" bestFit="1" width="10.0" style="5"/>
    <col min="10692" max="10692" customWidth="1" bestFit="1" width="10.0" style="5"/>
    <col min="10693" max="10693" customWidth="1" bestFit="1" width="10.0" style="5"/>
    <col min="10694" max="10694" customWidth="1" bestFit="1" width="10.0" style="5"/>
    <col min="10695" max="10695" customWidth="1" bestFit="1" width="10.0" style="5"/>
    <col min="10696" max="10696" customWidth="1" bestFit="1" width="10.0" style="5"/>
    <col min="10697" max="10697" customWidth="1" bestFit="1" width="10.0" style="5"/>
    <col min="10698" max="10698" customWidth="1" bestFit="1" width="10.0" style="5"/>
    <col min="10699" max="10699" customWidth="1" bestFit="1" width="10.0" style="5"/>
    <col min="10700" max="10700" customWidth="1" bestFit="1" width="10.0" style="5"/>
    <col min="10701" max="10701" customWidth="1" bestFit="1" width="10.0" style="5"/>
    <col min="10702" max="10702" customWidth="1" bestFit="1" width="10.0" style="5"/>
    <col min="10703" max="10703" customWidth="1" bestFit="1" width="10.0" style="5"/>
    <col min="10704" max="10704" customWidth="1" bestFit="1" width="10.0" style="5"/>
    <col min="10705" max="10705" customWidth="1" bestFit="1" width="10.0" style="5"/>
    <col min="10706" max="10706" customWidth="1" bestFit="1" width="10.0" style="5"/>
    <col min="10707" max="10707" customWidth="1" bestFit="1" width="10.0" style="5"/>
    <col min="10708" max="10708" customWidth="1" bestFit="1" width="10.0" style="5"/>
    <col min="10709" max="10709" customWidth="1" bestFit="1" width="10.0" style="5"/>
    <col min="10710" max="10710" customWidth="1" bestFit="1" width="10.0" style="5"/>
    <col min="10711" max="10711" customWidth="1" bestFit="1" width="10.0" style="5"/>
    <col min="10712" max="10712" customWidth="1" bestFit="1" width="10.0" style="5"/>
    <col min="10713" max="10713" customWidth="1" bestFit="1" width="10.0" style="5"/>
    <col min="10714" max="10714" customWidth="1" bestFit="1" width="10.0" style="5"/>
    <col min="10715" max="10715" customWidth="1" bestFit="1" width="10.0" style="5"/>
    <col min="10716" max="10716" customWidth="1" bestFit="1" width="10.0" style="5"/>
    <col min="10717" max="10717" customWidth="1" bestFit="1" width="10.0" style="5"/>
    <col min="10718" max="10718" customWidth="1" bestFit="1" width="10.0" style="5"/>
    <col min="10719" max="10719" customWidth="1" bestFit="1" width="10.0" style="5"/>
    <col min="10720" max="10720" customWidth="1" bestFit="1" width="10.0" style="5"/>
    <col min="10721" max="10721" customWidth="1" bestFit="1" width="10.0" style="5"/>
    <col min="10722" max="10722" customWidth="1" bestFit="1" width="10.0" style="5"/>
    <col min="10723" max="10723" customWidth="1" bestFit="1" width="10.0" style="5"/>
    <col min="10724" max="10724" customWidth="1" bestFit="1" width="10.0" style="5"/>
    <col min="10725" max="10725" customWidth="1" bestFit="1" width="10.0" style="5"/>
    <col min="10726" max="10726" customWidth="1" bestFit="1" width="10.0" style="5"/>
    <col min="10727" max="10727" customWidth="1" bestFit="1" width="10.0" style="5"/>
    <col min="10728" max="10728" customWidth="1" bestFit="1" width="10.0" style="5"/>
    <col min="10729" max="10729" customWidth="1" bestFit="1" width="10.0" style="5"/>
    <col min="10730" max="10730" customWidth="1" bestFit="1" width="10.0" style="5"/>
    <col min="10731" max="10731" customWidth="1" bestFit="1" width="10.0" style="5"/>
    <col min="10732" max="10732" customWidth="1" bestFit="1" width="10.0" style="5"/>
    <col min="10733" max="10733" customWidth="1" bestFit="1" width="10.0" style="5"/>
    <col min="10734" max="10734" customWidth="1" bestFit="1" width="10.0" style="5"/>
    <col min="10735" max="10735" customWidth="1" bestFit="1" width="10.0" style="5"/>
    <col min="10736" max="10736" customWidth="1" bestFit="1" width="10.0" style="5"/>
    <col min="10737" max="10737" customWidth="1" bestFit="1" width="10.0" style="5"/>
    <col min="10738" max="10738" customWidth="1" bestFit="1" width="10.0" style="5"/>
    <col min="10739" max="10739" customWidth="1" bestFit="1" width="10.0" style="5"/>
    <col min="10740" max="10740" customWidth="1" bestFit="1" width="10.0" style="5"/>
    <col min="10741" max="10741" customWidth="1" bestFit="1" width="10.0" style="5"/>
    <col min="10742" max="10742" customWidth="1" bestFit="1" width="10.0" style="5"/>
    <col min="10743" max="10743" customWidth="1" bestFit="1" width="10.0" style="5"/>
    <col min="10744" max="10744" customWidth="1" bestFit="1" width="10.0" style="5"/>
    <col min="10745" max="10745" customWidth="1" bestFit="1" width="10.0" style="5"/>
    <col min="10746" max="10746" customWidth="1" bestFit="1" width="10.0" style="5"/>
    <col min="10747" max="10747" customWidth="1" bestFit="1" width="10.0" style="5"/>
    <col min="10748" max="10748" customWidth="1" bestFit="1" width="10.0" style="5"/>
    <col min="10749" max="10749" customWidth="1" bestFit="1" width="10.0" style="5"/>
    <col min="10750" max="10750" customWidth="1" bestFit="1" width="10.0" style="5"/>
    <col min="10751" max="10751" customWidth="1" bestFit="1" width="10.0" style="5"/>
    <col min="10752" max="10752" customWidth="1" bestFit="1" width="10.0" style="5"/>
    <col min="10753" max="10753" customWidth="1" bestFit="1" width="10.0" style="5"/>
    <col min="10754" max="10754" customWidth="1" bestFit="1" width="10.0" style="5"/>
    <col min="10755" max="10755" customWidth="1" bestFit="1" width="10.0" style="5"/>
    <col min="10756" max="10756" customWidth="1" bestFit="1" width="10.0" style="5"/>
    <col min="10757" max="10757" customWidth="1" bestFit="1" width="10.0" style="5"/>
    <col min="10758" max="10758" customWidth="1" bestFit="1" width="10.0" style="5"/>
    <col min="10759" max="10759" customWidth="1" bestFit="1" width="10.0" style="5"/>
    <col min="10760" max="10760" customWidth="1" bestFit="1" width="10.0" style="5"/>
    <col min="10761" max="10761" customWidth="1" bestFit="1" width="10.0" style="5"/>
    <col min="10762" max="10762" customWidth="1" bestFit="1" width="10.0" style="5"/>
    <col min="10763" max="10763" customWidth="1" bestFit="1" width="10.0" style="5"/>
    <col min="10764" max="10764" customWidth="1" bestFit="1" width="10.0" style="5"/>
    <col min="10765" max="10765" customWidth="1" bestFit="1" width="10.0" style="5"/>
    <col min="10766" max="10766" customWidth="1" bestFit="1" width="10.0" style="5"/>
    <col min="10767" max="10767" customWidth="1" bestFit="1" width="10.0" style="5"/>
    <col min="10768" max="10768" customWidth="1" bestFit="1" width="10.0" style="5"/>
    <col min="10769" max="10769" customWidth="1" bestFit="1" width="10.0" style="5"/>
    <col min="10770" max="10770" customWidth="1" bestFit="1" width="10.0" style="5"/>
    <col min="10771" max="10771" customWidth="1" bestFit="1" width="10.0" style="5"/>
    <col min="10772" max="10772" customWidth="1" bestFit="1" width="10.0" style="5"/>
    <col min="10773" max="10773" customWidth="1" bestFit="1" width="10.0" style="5"/>
    <col min="10774" max="10774" customWidth="1" bestFit="1" width="10.0" style="5"/>
    <col min="10775" max="10775" customWidth="1" bestFit="1" width="10.0" style="5"/>
    <col min="10776" max="10776" customWidth="1" bestFit="1" width="10.0" style="5"/>
    <col min="10777" max="10777" customWidth="1" bestFit="1" width="10.0" style="5"/>
    <col min="10778" max="10778" customWidth="1" bestFit="1" width="10.0" style="5"/>
    <col min="10779" max="10779" customWidth="1" bestFit="1" width="10.0" style="5"/>
    <col min="10780" max="10780" customWidth="1" bestFit="1" width="10.0" style="5"/>
    <col min="10781" max="10781" customWidth="1" bestFit="1" width="10.0" style="5"/>
    <col min="10782" max="10782" customWidth="1" bestFit="1" width="10.0" style="5"/>
    <col min="10783" max="10783" customWidth="1" bestFit="1" width="10.0" style="5"/>
    <col min="10784" max="10784" customWidth="1" bestFit="1" width="10.0" style="5"/>
    <col min="10785" max="10785" customWidth="1" bestFit="1" width="10.0" style="5"/>
    <col min="10786" max="10786" customWidth="1" bestFit="1" width="10.0" style="5"/>
    <col min="10787" max="10787" customWidth="1" bestFit="1" width="10.0" style="5"/>
    <col min="10788" max="10788" customWidth="1" bestFit="1" width="10.0" style="5"/>
    <col min="10789" max="10789" customWidth="1" bestFit="1" width="10.0" style="5"/>
    <col min="10790" max="10790" customWidth="1" bestFit="1" width="10.0" style="5"/>
    <col min="10791" max="10791" customWidth="1" bestFit="1" width="10.0" style="5"/>
    <col min="10792" max="10792" customWidth="1" bestFit="1" width="10.0" style="5"/>
    <col min="10793" max="10793" customWidth="1" bestFit="1" width="10.0" style="5"/>
    <col min="10794" max="10794" customWidth="1" bestFit="1" width="10.0" style="5"/>
    <col min="10795" max="10795" customWidth="1" bestFit="1" width="10.0" style="5"/>
    <col min="10796" max="10796" customWidth="1" bestFit="1" width="10.0" style="5"/>
    <col min="10797" max="10797" customWidth="1" bestFit="1" width="10.0" style="5"/>
    <col min="10798" max="10798" customWidth="1" bestFit="1" width="10.0" style="5"/>
    <col min="10799" max="10799" customWidth="1" bestFit="1" width="10.0" style="5"/>
    <col min="10800" max="10800" customWidth="1" bestFit="1" width="10.0" style="5"/>
    <col min="10801" max="10801" customWidth="1" bestFit="1" width="10.0" style="5"/>
    <col min="10802" max="10802" customWidth="1" bestFit="1" width="10.0" style="5"/>
    <col min="10803" max="10803" customWidth="1" bestFit="1" width="10.0" style="5"/>
    <col min="10804" max="10804" customWidth="1" bestFit="1" width="10.0" style="5"/>
    <col min="10805" max="10805" customWidth="1" bestFit="1" width="10.0" style="5"/>
    <col min="10806" max="10806" customWidth="1" bestFit="1" width="10.0" style="5"/>
    <col min="10807" max="10807" customWidth="1" bestFit="1" width="10.0" style="5"/>
    <col min="10808" max="10808" customWidth="1" bestFit="1" width="10.0" style="5"/>
    <col min="10809" max="10809" customWidth="1" bestFit="1" width="10.0" style="5"/>
    <col min="10810" max="10810" customWidth="1" bestFit="1" width="10.0" style="5"/>
    <col min="10811" max="10811" customWidth="1" bestFit="1" width="10.0" style="5"/>
    <col min="10812" max="10812" customWidth="1" bestFit="1" width="10.0" style="5"/>
    <col min="10813" max="10813" customWidth="1" bestFit="1" width="10.0" style="5"/>
    <col min="10814" max="10814" customWidth="1" bestFit="1" width="10.0" style="5"/>
    <col min="10815" max="10815" customWidth="1" bestFit="1" width="10.0" style="5"/>
    <col min="10816" max="10816" customWidth="1" bestFit="1" width="10.0" style="5"/>
    <col min="10817" max="10817" customWidth="1" bestFit="1" width="10.0" style="5"/>
    <col min="10818" max="10818" customWidth="1" bestFit="1" width="10.0" style="5"/>
    <col min="10819" max="10819" customWidth="1" bestFit="1" width="10.0" style="5"/>
    <col min="10820" max="10820" customWidth="1" bestFit="1" width="10.0" style="5"/>
    <col min="10821" max="10821" customWidth="1" bestFit="1" width="10.0" style="5"/>
    <col min="10822" max="10822" customWidth="1" bestFit="1" width="10.0" style="5"/>
    <col min="10823" max="10823" customWidth="1" bestFit="1" width="10.0" style="5"/>
    <col min="10824" max="10824" customWidth="1" bestFit="1" width="10.0" style="5"/>
    <col min="10825" max="10825" customWidth="1" bestFit="1" width="10.0" style="5"/>
    <col min="10826" max="10826" customWidth="1" bestFit="1" width="10.0" style="5"/>
    <col min="10827" max="10827" customWidth="1" bestFit="1" width="10.0" style="5"/>
    <col min="10828" max="10828" customWidth="1" bestFit="1" width="10.0" style="5"/>
    <col min="10829" max="10829" customWidth="1" bestFit="1" width="10.0" style="5"/>
    <col min="10830" max="10830" customWidth="1" bestFit="1" width="10.0" style="5"/>
    <col min="10831" max="10831" customWidth="1" bestFit="1" width="10.0" style="5"/>
    <col min="10832" max="10832" customWidth="1" bestFit="1" width="10.0" style="5"/>
    <col min="10833" max="10833" customWidth="1" bestFit="1" width="10.0" style="5"/>
    <col min="10834" max="10834" customWidth="1" bestFit="1" width="10.0" style="5"/>
    <col min="10835" max="10835" customWidth="1" bestFit="1" width="10.0" style="5"/>
    <col min="10836" max="10836" customWidth="1" bestFit="1" width="10.0" style="5"/>
    <col min="10837" max="10837" customWidth="1" bestFit="1" width="10.0" style="5"/>
    <col min="10838" max="10838" customWidth="1" bestFit="1" width="10.0" style="5"/>
    <col min="10839" max="10839" customWidth="1" bestFit="1" width="10.0" style="5"/>
    <col min="10840" max="10840" customWidth="1" bestFit="1" width="10.0" style="5"/>
    <col min="10841" max="10841" customWidth="1" bestFit="1" width="10.0" style="5"/>
    <col min="10842" max="10842" customWidth="1" bestFit="1" width="10.0" style="5"/>
    <col min="10843" max="10843" customWidth="1" bestFit="1" width="10.0" style="5"/>
    <col min="10844" max="10844" customWidth="1" bestFit="1" width="10.0" style="5"/>
    <col min="10845" max="10845" customWidth="1" bestFit="1" width="10.0" style="5"/>
    <col min="10846" max="10846" customWidth="1" bestFit="1" width="10.0" style="5"/>
    <col min="10847" max="10847" customWidth="1" bestFit="1" width="10.0" style="5"/>
    <col min="10848" max="10848" customWidth="1" bestFit="1" width="10.0" style="5"/>
    <col min="10849" max="10849" customWidth="1" bestFit="1" width="10.0" style="5"/>
    <col min="10850" max="10850" customWidth="1" bestFit="1" width="10.0" style="5"/>
    <col min="10851" max="10851" customWidth="1" bestFit="1" width="10.0" style="5"/>
    <col min="10852" max="10852" customWidth="1" bestFit="1" width="10.0" style="5"/>
    <col min="10853" max="10853" customWidth="1" bestFit="1" width="10.0" style="5"/>
    <col min="10854" max="10854" customWidth="1" bestFit="1" width="10.0" style="5"/>
    <col min="10855" max="10855" customWidth="1" bestFit="1" width="10.0" style="5"/>
    <col min="10856" max="10856" customWidth="1" bestFit="1" width="10.0" style="5"/>
    <col min="10857" max="10857" customWidth="1" bestFit="1" width="10.0" style="5"/>
    <col min="10858" max="10858" customWidth="1" bestFit="1" width="10.0" style="5"/>
    <col min="10859" max="10859" customWidth="1" bestFit="1" width="10.0" style="5"/>
    <col min="10860" max="10860" customWidth="1" bestFit="1" width="10.0" style="5"/>
    <col min="10861" max="10861" customWidth="1" bestFit="1" width="10.0" style="5"/>
    <col min="10862" max="10862" customWidth="1" bestFit="1" width="10.0" style="5"/>
    <col min="10863" max="10863" customWidth="1" bestFit="1" width="10.0" style="5"/>
    <col min="10864" max="10864" customWidth="1" bestFit="1" width="10.0" style="5"/>
    <col min="10865" max="10865" customWidth="1" bestFit="1" width="10.0" style="5"/>
    <col min="10866" max="10866" customWidth="1" bestFit="1" width="10.0" style="5"/>
    <col min="10867" max="10867" customWidth="1" bestFit="1" width="10.0" style="5"/>
    <col min="10868" max="10868" customWidth="1" bestFit="1" width="10.0" style="5"/>
    <col min="10869" max="10869" customWidth="1" bestFit="1" width="10.0" style="5"/>
    <col min="10870" max="10870" customWidth="1" bestFit="1" width="10.0" style="5"/>
    <col min="10871" max="10871" customWidth="1" bestFit="1" width="10.0" style="5"/>
    <col min="10872" max="10872" customWidth="1" bestFit="1" width="10.0" style="5"/>
    <col min="10873" max="10873" customWidth="1" bestFit="1" width="10.0" style="5"/>
    <col min="10874" max="10874" customWidth="1" bestFit="1" width="10.0" style="5"/>
    <col min="10875" max="10875" customWidth="1" bestFit="1" width="10.0" style="5"/>
    <col min="10876" max="10876" customWidth="1" bestFit="1" width="10.0" style="5"/>
    <col min="10877" max="10877" customWidth="1" bestFit="1" width="10.0" style="5"/>
    <col min="10878" max="10878" customWidth="1" bestFit="1" width="10.0" style="5"/>
    <col min="10879" max="10879" customWidth="1" bestFit="1" width="10.0" style="5"/>
    <col min="10880" max="10880" customWidth="1" bestFit="1" width="10.0" style="5"/>
    <col min="10881" max="10881" customWidth="1" bestFit="1" width="10.0" style="5"/>
    <col min="10882" max="10882" customWidth="1" bestFit="1" width="10.0" style="5"/>
    <col min="10883" max="10883" customWidth="1" bestFit="1" width="10.0" style="5"/>
    <col min="10884" max="10884" customWidth="1" bestFit="1" width="10.0" style="5"/>
    <col min="10885" max="10885" customWidth="1" bestFit="1" width="10.0" style="5"/>
    <col min="10886" max="10886" customWidth="1" bestFit="1" width="10.0" style="5"/>
    <col min="10887" max="10887" customWidth="1" bestFit="1" width="10.0" style="5"/>
    <col min="10888" max="10888" customWidth="1" bestFit="1" width="10.0" style="5"/>
    <col min="10889" max="10889" customWidth="1" bestFit="1" width="10.0" style="5"/>
    <col min="10890" max="10890" customWidth="1" bestFit="1" width="10.0" style="5"/>
    <col min="10891" max="10891" customWidth="1" bestFit="1" width="10.0" style="5"/>
    <col min="10892" max="10892" customWidth="1" bestFit="1" width="10.0" style="5"/>
    <col min="10893" max="10893" customWidth="1" bestFit="1" width="10.0" style="5"/>
    <col min="10894" max="10894" customWidth="1" bestFit="1" width="10.0" style="5"/>
    <col min="10895" max="10895" customWidth="1" bestFit="1" width="10.0" style="5"/>
    <col min="10896" max="10896" customWidth="1" bestFit="1" width="10.0" style="5"/>
    <col min="10897" max="10897" customWidth="1" bestFit="1" width="10.0" style="5"/>
    <col min="10898" max="10898" customWidth="1" bestFit="1" width="10.0" style="5"/>
    <col min="10899" max="10899" customWidth="1" bestFit="1" width="10.0" style="5"/>
    <col min="10900" max="10900" customWidth="1" bestFit="1" width="10.0" style="5"/>
    <col min="10901" max="10901" customWidth="1" bestFit="1" width="10.0" style="5"/>
    <col min="10902" max="10902" customWidth="1" bestFit="1" width="10.0" style="5"/>
    <col min="10903" max="10903" customWidth="1" bestFit="1" width="10.0" style="5"/>
    <col min="10904" max="10904" customWidth="1" bestFit="1" width="10.0" style="5"/>
    <col min="10905" max="10905" customWidth="1" bestFit="1" width="10.0" style="5"/>
    <col min="10906" max="10906" customWidth="1" bestFit="1" width="10.0" style="5"/>
    <col min="10907" max="10907" customWidth="1" bestFit="1" width="10.0" style="5"/>
    <col min="10908" max="10908" customWidth="1" bestFit="1" width="10.0" style="5"/>
    <col min="10909" max="10909" customWidth="1" bestFit="1" width="10.0" style="5"/>
    <col min="10910" max="10910" customWidth="1" bestFit="1" width="10.0" style="5"/>
    <col min="10911" max="10911" customWidth="1" bestFit="1" width="10.0" style="5"/>
    <col min="10912" max="10912" customWidth="1" bestFit="1" width="10.0" style="5"/>
    <col min="10913" max="10913" customWidth="1" bestFit="1" width="10.0" style="5"/>
    <col min="10914" max="10914" customWidth="1" bestFit="1" width="10.0" style="5"/>
    <col min="10915" max="10915" customWidth="1" bestFit="1" width="10.0" style="5"/>
    <col min="10916" max="10916" customWidth="1" bestFit="1" width="10.0" style="5"/>
    <col min="10917" max="10917" customWidth="1" bestFit="1" width="10.0" style="5"/>
    <col min="10918" max="10918" customWidth="1" bestFit="1" width="10.0" style="5"/>
    <col min="10919" max="10919" customWidth="1" bestFit="1" width="10.0" style="5"/>
    <col min="10920" max="10920" customWidth="1" bestFit="1" width="10.0" style="5"/>
    <col min="10921" max="10921" customWidth="1" bestFit="1" width="10.0" style="5"/>
    <col min="10922" max="10922" customWidth="1" bestFit="1" width="10.0" style="5"/>
    <col min="10923" max="10923" customWidth="1" bestFit="1" width="10.0" style="5"/>
    <col min="10924" max="10924" customWidth="1" bestFit="1" width="10.0" style="5"/>
    <col min="10925" max="10925" customWidth="1" bestFit="1" width="10.0" style="5"/>
    <col min="10926" max="10926" customWidth="1" bestFit="1" width="10.0" style="5"/>
    <col min="10927" max="10927" customWidth="1" bestFit="1" width="10.0" style="5"/>
    <col min="10928" max="10928" customWidth="1" bestFit="1" width="10.0" style="5"/>
    <col min="10929" max="10929" customWidth="1" bestFit="1" width="10.0" style="5"/>
    <col min="10930" max="10930" customWidth="1" bestFit="1" width="10.0" style="5"/>
    <col min="10931" max="10931" customWidth="1" bestFit="1" width="10.0" style="5"/>
    <col min="10932" max="10932" customWidth="1" bestFit="1" width="10.0" style="5"/>
    <col min="10933" max="10933" customWidth="1" bestFit="1" width="10.0" style="5"/>
    <col min="10934" max="10934" customWidth="1" bestFit="1" width="10.0" style="5"/>
    <col min="10935" max="10935" customWidth="1" bestFit="1" width="10.0" style="5"/>
    <col min="10936" max="10936" customWidth="1" bestFit="1" width="10.0" style="5"/>
    <col min="10937" max="10937" customWidth="1" bestFit="1" width="10.0" style="5"/>
    <col min="10938" max="10938" customWidth="1" bestFit="1" width="10.0" style="5"/>
    <col min="10939" max="10939" customWidth="1" bestFit="1" width="10.0" style="5"/>
    <col min="10940" max="10940" customWidth="1" bestFit="1" width="10.0" style="5"/>
    <col min="10941" max="10941" customWidth="1" bestFit="1" width="10.0" style="5"/>
    <col min="10942" max="10942" customWidth="1" bestFit="1" width="10.0" style="5"/>
    <col min="10943" max="10943" customWidth="1" bestFit="1" width="10.0" style="5"/>
    <col min="10944" max="10944" customWidth="1" bestFit="1" width="10.0" style="5"/>
    <col min="10945" max="10945" customWidth="1" bestFit="1" width="10.0" style="5"/>
    <col min="10946" max="10946" customWidth="1" bestFit="1" width="10.0" style="5"/>
    <col min="10947" max="10947" customWidth="1" bestFit="1" width="10.0" style="5"/>
    <col min="10948" max="10948" customWidth="1" bestFit="1" width="10.0" style="5"/>
    <col min="10949" max="10949" customWidth="1" bestFit="1" width="10.0" style="5"/>
    <col min="10950" max="10950" customWidth="1" bestFit="1" width="10.0" style="5"/>
    <col min="10951" max="10951" customWidth="1" bestFit="1" width="10.0" style="5"/>
    <col min="10952" max="10952" customWidth="1" bestFit="1" width="10.0" style="5"/>
    <col min="10953" max="10953" customWidth="1" bestFit="1" width="10.0" style="5"/>
    <col min="10954" max="10954" customWidth="1" bestFit="1" width="10.0" style="5"/>
    <col min="10955" max="10955" customWidth="1" bestFit="1" width="10.0" style="5"/>
    <col min="10956" max="10956" customWidth="1" bestFit="1" width="10.0" style="5"/>
    <col min="10957" max="10957" customWidth="1" bestFit="1" width="10.0" style="5"/>
    <col min="10958" max="10958" customWidth="1" bestFit="1" width="10.0" style="5"/>
    <col min="10959" max="10959" customWidth="1" bestFit="1" width="10.0" style="5"/>
    <col min="10960" max="10960" customWidth="1" bestFit="1" width="10.0" style="5"/>
    <col min="10961" max="10961" customWidth="1" bestFit="1" width="10.0" style="5"/>
    <col min="10962" max="10962" customWidth="1" bestFit="1" width="10.0" style="5"/>
    <col min="10963" max="10963" customWidth="1" bestFit="1" width="10.0" style="5"/>
    <col min="10964" max="10964" customWidth="1" bestFit="1" width="10.0" style="5"/>
    <col min="10965" max="10965" customWidth="1" bestFit="1" width="10.0" style="5"/>
    <col min="10966" max="10966" customWidth="1" bestFit="1" width="10.0" style="5"/>
    <col min="10967" max="10967" customWidth="1" bestFit="1" width="10.0" style="5"/>
    <col min="10968" max="10968" customWidth="1" bestFit="1" width="10.0" style="5"/>
    <col min="10969" max="10969" customWidth="1" bestFit="1" width="10.0" style="5"/>
    <col min="10970" max="10970" customWidth="1" bestFit="1" width="10.0" style="5"/>
    <col min="10971" max="10971" customWidth="1" bestFit="1" width="10.0" style="5"/>
    <col min="10972" max="10972" customWidth="1" bestFit="1" width="10.0" style="5"/>
    <col min="10973" max="10973" customWidth="1" bestFit="1" width="10.0" style="5"/>
    <col min="10974" max="10974" customWidth="1" bestFit="1" width="10.0" style="5"/>
    <col min="10975" max="10975" customWidth="1" bestFit="1" width="10.0" style="5"/>
    <col min="10976" max="10976" customWidth="1" bestFit="1" width="10.0" style="5"/>
    <col min="10977" max="10977" customWidth="1" bestFit="1" width="10.0" style="5"/>
    <col min="10978" max="10978" customWidth="1" bestFit="1" width="10.0" style="5"/>
    <col min="10979" max="10979" customWidth="1" bestFit="1" width="10.0" style="5"/>
    <col min="10980" max="10980" customWidth="1" bestFit="1" width="10.0" style="5"/>
    <col min="10981" max="10981" customWidth="1" bestFit="1" width="10.0" style="5"/>
    <col min="10982" max="10982" customWidth="1" bestFit="1" width="10.0" style="5"/>
    <col min="10983" max="10983" customWidth="1" bestFit="1" width="10.0" style="5"/>
    <col min="10984" max="10984" customWidth="1" bestFit="1" width="10.0" style="5"/>
    <col min="10985" max="10985" customWidth="1" bestFit="1" width="10.0" style="5"/>
    <col min="10986" max="10986" customWidth="1" bestFit="1" width="10.0" style="5"/>
    <col min="10987" max="10987" customWidth="1" bestFit="1" width="10.0" style="5"/>
    <col min="10988" max="10988" customWidth="1" bestFit="1" width="10.0" style="5"/>
    <col min="10989" max="10989" customWidth="1" bestFit="1" width="10.0" style="5"/>
    <col min="10990" max="10990" customWidth="1" bestFit="1" width="10.0" style="5"/>
    <col min="10991" max="10991" customWidth="1" bestFit="1" width="10.0" style="5"/>
    <col min="10992" max="10992" customWidth="1" bestFit="1" width="10.0" style="5"/>
    <col min="10993" max="10993" customWidth="1" bestFit="1" width="10.0" style="5"/>
    <col min="10994" max="10994" customWidth="1" bestFit="1" width="10.0" style="5"/>
    <col min="10995" max="10995" customWidth="1" bestFit="1" width="10.0" style="5"/>
    <col min="10996" max="10996" customWidth="1" bestFit="1" width="10.0" style="5"/>
    <col min="10997" max="10997" customWidth="1" bestFit="1" width="10.0" style="5"/>
    <col min="10998" max="10998" customWidth="1" bestFit="1" width="10.0" style="5"/>
    <col min="10999" max="10999" customWidth="1" bestFit="1" width="10.0" style="5"/>
    <col min="11000" max="11000" customWidth="1" bestFit="1" width="10.0" style="5"/>
    <col min="11001" max="11001" customWidth="1" bestFit="1" width="10.0" style="5"/>
    <col min="11002" max="11002" customWidth="1" bestFit="1" width="10.0" style="5"/>
    <col min="11003" max="11003" customWidth="1" bestFit="1" width="10.0" style="5"/>
    <col min="11004" max="11004" customWidth="1" bestFit="1" width="10.0" style="5"/>
    <col min="11005" max="11005" customWidth="1" bestFit="1" width="10.0" style="5"/>
    <col min="11006" max="11006" customWidth="1" bestFit="1" width="10.0" style="5"/>
    <col min="11007" max="11007" customWidth="1" bestFit="1" width="10.0" style="5"/>
    <col min="11008" max="11008" customWidth="1" bestFit="1" width="10.0" style="5"/>
    <col min="11009" max="11009" customWidth="1" bestFit="1" width="10.0" style="5"/>
    <col min="11010" max="11010" customWidth="1" bestFit="1" width="10.0" style="5"/>
    <col min="11011" max="11011" customWidth="1" bestFit="1" width="10.0" style="5"/>
    <col min="11012" max="11012" customWidth="1" bestFit="1" width="10.0" style="5"/>
    <col min="11013" max="11013" customWidth="1" bestFit="1" width="10.0" style="5"/>
    <col min="11014" max="11014" customWidth="1" bestFit="1" width="10.0" style="5"/>
    <col min="11015" max="11015" customWidth="1" bestFit="1" width="10.0" style="5"/>
    <col min="11016" max="11016" customWidth="1" bestFit="1" width="10.0" style="5"/>
    <col min="11017" max="11017" customWidth="1" bestFit="1" width="10.0" style="5"/>
    <col min="11018" max="11018" customWidth="1" bestFit="1" width="10.0" style="5"/>
    <col min="11019" max="11019" customWidth="1" bestFit="1" width="10.0" style="5"/>
    <col min="11020" max="11020" customWidth="1" bestFit="1" width="10.0" style="5"/>
    <col min="11021" max="11021" customWidth="1" bestFit="1" width="10.0" style="5"/>
    <col min="11022" max="11022" customWidth="1" bestFit="1" width="10.0" style="5"/>
    <col min="11023" max="11023" customWidth="1" bestFit="1" width="10.0" style="5"/>
    <col min="11024" max="11024" customWidth="1" bestFit="1" width="10.0" style="5"/>
    <col min="11025" max="11025" customWidth="1" bestFit="1" width="10.0" style="5"/>
    <col min="11026" max="11026" customWidth="1" bestFit="1" width="10.0" style="5"/>
    <col min="11027" max="11027" customWidth="1" bestFit="1" width="10.0" style="5"/>
    <col min="11028" max="11028" customWidth="1" bestFit="1" width="10.0" style="5"/>
    <col min="11029" max="11029" customWidth="1" bestFit="1" width="10.0" style="5"/>
    <col min="11030" max="11030" customWidth="1" bestFit="1" width="10.0" style="5"/>
    <col min="11031" max="11031" customWidth="1" bestFit="1" width="10.0" style="5"/>
    <col min="11032" max="11032" customWidth="1" bestFit="1" width="10.0" style="5"/>
    <col min="11033" max="11033" customWidth="1" bestFit="1" width="10.0" style="5"/>
    <col min="11034" max="11034" customWidth="1" bestFit="1" width="10.0" style="5"/>
    <col min="11035" max="11035" customWidth="1" bestFit="1" width="10.0" style="5"/>
    <col min="11036" max="11036" customWidth="1" bestFit="1" width="10.0" style="5"/>
    <col min="11037" max="11037" customWidth="1" bestFit="1" width="10.0" style="5"/>
    <col min="11038" max="11038" customWidth="1" bestFit="1" width="10.0" style="5"/>
    <col min="11039" max="11039" customWidth="1" bestFit="1" width="10.0" style="5"/>
    <col min="11040" max="11040" customWidth="1" bestFit="1" width="10.0" style="5"/>
    <col min="11041" max="11041" customWidth="1" bestFit="1" width="10.0" style="5"/>
    <col min="11042" max="11042" customWidth="1" bestFit="1" width="10.0" style="5"/>
    <col min="11043" max="11043" customWidth="1" bestFit="1" width="10.0" style="5"/>
    <col min="11044" max="11044" customWidth="1" bestFit="1" width="10.0" style="5"/>
    <col min="11045" max="11045" customWidth="1" bestFit="1" width="10.0" style="5"/>
    <col min="11046" max="11046" customWidth="1" bestFit="1" width="10.0" style="5"/>
    <col min="11047" max="11047" customWidth="1" bestFit="1" width="10.0" style="5"/>
    <col min="11048" max="11048" customWidth="1" bestFit="1" width="10.0" style="5"/>
    <col min="11049" max="11049" customWidth="1" bestFit="1" width="10.0" style="5"/>
    <col min="11050" max="11050" customWidth="1" bestFit="1" width="10.0" style="5"/>
    <col min="11051" max="11051" customWidth="1" bestFit="1" width="10.0" style="5"/>
    <col min="11052" max="11052" customWidth="1" bestFit="1" width="10.0" style="5"/>
    <col min="11053" max="11053" customWidth="1" bestFit="1" width="10.0" style="5"/>
    <col min="11054" max="11054" customWidth="1" bestFit="1" width="10.0" style="5"/>
    <col min="11055" max="11055" customWidth="1" bestFit="1" width="10.0" style="5"/>
    <col min="11056" max="11056" customWidth="1" bestFit="1" width="10.0" style="5"/>
    <col min="11057" max="11057" customWidth="1" bestFit="1" width="10.0" style="5"/>
    <col min="11058" max="11058" customWidth="1" bestFit="1" width="10.0" style="5"/>
    <col min="11059" max="11059" customWidth="1" bestFit="1" width="10.0" style="5"/>
    <col min="11060" max="11060" customWidth="1" bestFit="1" width="10.0" style="5"/>
    <col min="11061" max="11061" customWidth="1" bestFit="1" width="10.0" style="5"/>
    <col min="11062" max="11062" customWidth="1" bestFit="1" width="10.0" style="5"/>
    <col min="11063" max="11063" customWidth="1" bestFit="1" width="10.0" style="5"/>
    <col min="11064" max="11064" customWidth="1" bestFit="1" width="10.0" style="5"/>
    <col min="11065" max="11065" customWidth="1" bestFit="1" width="10.0" style="5"/>
    <col min="11066" max="11066" customWidth="1" bestFit="1" width="10.0" style="5"/>
    <col min="11067" max="11067" customWidth="1" bestFit="1" width="10.0" style="5"/>
    <col min="11068" max="11068" customWidth="1" bestFit="1" width="10.0" style="5"/>
    <col min="11069" max="11069" customWidth="1" bestFit="1" width="10.0" style="5"/>
    <col min="11070" max="11070" customWidth="1" bestFit="1" width="10.0" style="5"/>
    <col min="11071" max="11071" customWidth="1" bestFit="1" width="10.0" style="5"/>
    <col min="11072" max="11072" customWidth="1" bestFit="1" width="10.0" style="5"/>
    <col min="11073" max="11073" customWidth="1" bestFit="1" width="10.0" style="5"/>
    <col min="11074" max="11074" customWidth="1" bestFit="1" width="10.0" style="5"/>
    <col min="11075" max="11075" customWidth="1" bestFit="1" width="10.0" style="5"/>
    <col min="11076" max="11076" customWidth="1" bestFit="1" width="10.0" style="5"/>
    <col min="11077" max="11077" customWidth="1" bestFit="1" width="10.0" style="5"/>
    <col min="11078" max="11078" customWidth="1" bestFit="1" width="10.0" style="5"/>
    <col min="11079" max="11079" customWidth="1" bestFit="1" width="10.0" style="5"/>
    <col min="11080" max="11080" customWidth="1" bestFit="1" width="10.0" style="5"/>
    <col min="11081" max="11081" customWidth="1" bestFit="1" width="10.0" style="5"/>
    <col min="11082" max="11082" customWidth="1" bestFit="1" width="10.0" style="5"/>
    <col min="11083" max="11083" customWidth="1" bestFit="1" width="10.0" style="5"/>
    <col min="11084" max="11084" customWidth="1" bestFit="1" width="10.0" style="5"/>
    <col min="11085" max="11085" customWidth="1" bestFit="1" width="10.0" style="5"/>
    <col min="11086" max="11086" customWidth="1" bestFit="1" width="10.0" style="5"/>
    <col min="11087" max="11087" customWidth="1" bestFit="1" width="10.0" style="5"/>
    <col min="11088" max="11088" customWidth="1" bestFit="1" width="10.0" style="5"/>
    <col min="11089" max="11089" customWidth="1" bestFit="1" width="10.0" style="5"/>
    <col min="11090" max="11090" customWidth="1" bestFit="1" width="10.0" style="5"/>
    <col min="11091" max="11091" customWidth="1" bestFit="1" width="10.0" style="5"/>
    <col min="11092" max="11092" customWidth="1" bestFit="1" width="10.0" style="5"/>
    <col min="11093" max="11093" customWidth="1" bestFit="1" width="10.0" style="5"/>
    <col min="11094" max="11094" customWidth="1" bestFit="1" width="10.0" style="5"/>
    <col min="11095" max="11095" customWidth="1" bestFit="1" width="10.0" style="5"/>
    <col min="11096" max="11096" customWidth="1" bestFit="1" width="10.0" style="5"/>
    <col min="11097" max="11097" customWidth="1" bestFit="1" width="10.0" style="5"/>
    <col min="11098" max="11098" customWidth="1" bestFit="1" width="10.0" style="5"/>
    <col min="11099" max="11099" customWidth="1" bestFit="1" width="10.0" style="5"/>
    <col min="11100" max="11100" customWidth="1" bestFit="1" width="10.0" style="5"/>
    <col min="11101" max="11101" customWidth="1" bestFit="1" width="10.0" style="5"/>
    <col min="11102" max="11102" customWidth="1" bestFit="1" width="10.0" style="5"/>
    <col min="11103" max="11103" customWidth="1" bestFit="1" width="10.0" style="5"/>
    <col min="11104" max="11104" customWidth="1" bestFit="1" width="10.0" style="5"/>
    <col min="11105" max="11105" customWidth="1" bestFit="1" width="10.0" style="5"/>
    <col min="11106" max="11106" customWidth="1" bestFit="1" width="10.0" style="5"/>
    <col min="11107" max="11107" customWidth="1" bestFit="1" width="10.0" style="5"/>
    <col min="11108" max="11108" customWidth="1" bestFit="1" width="10.0" style="5"/>
    <col min="11109" max="11109" customWidth="1" bestFit="1" width="10.0" style="5"/>
    <col min="11110" max="11110" customWidth="1" bestFit="1" width="10.0" style="5"/>
    <col min="11111" max="11111" customWidth="1" bestFit="1" width="10.0" style="5"/>
    <col min="11112" max="11112" customWidth="1" bestFit="1" width="10.0" style="5"/>
    <col min="11113" max="11113" customWidth="1" bestFit="1" width="10.0" style="5"/>
    <col min="11114" max="11114" customWidth="1" bestFit="1" width="10.0" style="5"/>
    <col min="11115" max="11115" customWidth="1" bestFit="1" width="10.0" style="5"/>
    <col min="11116" max="11116" customWidth="1" bestFit="1" width="10.0" style="5"/>
    <col min="11117" max="11117" customWidth="1" bestFit="1" width="10.0" style="5"/>
    <col min="11118" max="11118" customWidth="1" bestFit="1" width="10.0" style="5"/>
    <col min="11119" max="11119" customWidth="1" bestFit="1" width="10.0" style="5"/>
    <col min="11120" max="11120" customWidth="1" bestFit="1" width="10.0" style="5"/>
    <col min="11121" max="11121" customWidth="1" bestFit="1" width="10.0" style="5"/>
    <col min="11122" max="11122" customWidth="1" bestFit="1" width="10.0" style="5"/>
    <col min="11123" max="11123" customWidth="1" bestFit="1" width="10.0" style="5"/>
    <col min="11124" max="11124" customWidth="1" bestFit="1" width="10.0" style="5"/>
    <col min="11125" max="11125" customWidth="1" bestFit="1" width="10.0" style="5"/>
    <col min="11126" max="11126" customWidth="1" bestFit="1" width="10.0" style="5"/>
    <col min="11127" max="11127" customWidth="1" bestFit="1" width="10.0" style="5"/>
    <col min="11128" max="11128" customWidth="1" bestFit="1" width="10.0" style="5"/>
    <col min="11129" max="11129" customWidth="1" bestFit="1" width="10.0" style="5"/>
    <col min="11130" max="11130" customWidth="1" bestFit="1" width="10.0" style="5"/>
    <col min="11131" max="11131" customWidth="1" bestFit="1" width="10.0" style="5"/>
    <col min="11132" max="11132" customWidth="1" bestFit="1" width="10.0" style="5"/>
    <col min="11133" max="11133" customWidth="1" bestFit="1" width="10.0" style="5"/>
    <col min="11134" max="11134" customWidth="1" bestFit="1" width="10.0" style="5"/>
    <col min="11135" max="11135" customWidth="1" bestFit="1" width="10.0" style="5"/>
    <col min="11136" max="11136" customWidth="1" bestFit="1" width="10.0" style="5"/>
    <col min="11137" max="11137" customWidth="1" bestFit="1" width="10.0" style="5"/>
    <col min="11138" max="11138" customWidth="1" bestFit="1" width="10.0" style="5"/>
    <col min="11139" max="11139" customWidth="1" bestFit="1" width="10.0" style="5"/>
    <col min="11140" max="11140" customWidth="1" bestFit="1" width="10.0" style="5"/>
    <col min="11141" max="11141" customWidth="1" bestFit="1" width="10.0" style="5"/>
    <col min="11142" max="11142" customWidth="1" bestFit="1" width="10.0" style="5"/>
    <col min="11143" max="11143" customWidth="1" bestFit="1" width="10.0" style="5"/>
    <col min="11144" max="11144" customWidth="1" bestFit="1" width="10.0" style="5"/>
    <col min="11145" max="11145" customWidth="1" bestFit="1" width="10.0" style="5"/>
    <col min="11146" max="11146" customWidth="1" bestFit="1" width="10.0" style="5"/>
    <col min="11147" max="11147" customWidth="1" bestFit="1" width="10.0" style="5"/>
    <col min="11148" max="11148" customWidth="1" bestFit="1" width="10.0" style="5"/>
    <col min="11149" max="11149" customWidth="1" bestFit="1" width="10.0" style="5"/>
    <col min="11150" max="11150" customWidth="1" bestFit="1" width="10.0" style="5"/>
    <col min="11151" max="11151" customWidth="1" bestFit="1" width="10.0" style="5"/>
    <col min="11152" max="11152" customWidth="1" bestFit="1" width="10.0" style="5"/>
    <col min="11153" max="11153" customWidth="1" bestFit="1" width="10.0" style="5"/>
    <col min="11154" max="11154" customWidth="1" bestFit="1" width="10.0" style="5"/>
    <col min="11155" max="11155" customWidth="1" bestFit="1" width="10.0" style="5"/>
    <col min="11156" max="11156" customWidth="1" bestFit="1" width="10.0" style="5"/>
    <col min="11157" max="11157" customWidth="1" bestFit="1" width="10.0" style="5"/>
    <col min="11158" max="11158" customWidth="1" bestFit="1" width="10.0" style="5"/>
    <col min="11159" max="11159" customWidth="1" bestFit="1" width="10.0" style="5"/>
    <col min="11160" max="11160" customWidth="1" bestFit="1" width="10.0" style="5"/>
    <col min="11161" max="11161" customWidth="1" bestFit="1" width="10.0" style="5"/>
    <col min="11162" max="11162" customWidth="1" bestFit="1" width="10.0" style="5"/>
    <col min="11163" max="11163" customWidth="1" bestFit="1" width="10.0" style="5"/>
    <col min="11164" max="11164" customWidth="1" bestFit="1" width="10.0" style="5"/>
    <col min="11165" max="11165" customWidth="1" bestFit="1" width="10.0" style="5"/>
    <col min="11166" max="11166" customWidth="1" bestFit="1" width="10.0" style="5"/>
    <col min="11167" max="11167" customWidth="1" bestFit="1" width="10.0" style="5"/>
    <col min="11168" max="11168" customWidth="1" bestFit="1" width="10.0" style="5"/>
    <col min="11169" max="11169" customWidth="1" bestFit="1" width="10.0" style="5"/>
    <col min="11170" max="11170" customWidth="1" bestFit="1" width="10.0" style="5"/>
    <col min="11171" max="11171" customWidth="1" bestFit="1" width="10.0" style="5"/>
    <col min="11172" max="11172" customWidth="1" bestFit="1" width="10.0" style="5"/>
    <col min="11173" max="11173" customWidth="1" bestFit="1" width="10.0" style="5"/>
    <col min="11174" max="11174" customWidth="1" bestFit="1" width="10.0" style="5"/>
    <col min="11175" max="11175" customWidth="1" bestFit="1" width="10.0" style="5"/>
    <col min="11176" max="11176" customWidth="1" bestFit="1" width="10.0" style="5"/>
    <col min="11177" max="11177" customWidth="1" bestFit="1" width="10.0" style="5"/>
    <col min="11178" max="11178" customWidth="1" bestFit="1" width="10.0" style="5"/>
    <col min="11179" max="11179" customWidth="1" bestFit="1" width="10.0" style="5"/>
    <col min="11180" max="11180" customWidth="1" bestFit="1" width="10.0" style="5"/>
    <col min="11181" max="11181" customWidth="1" bestFit="1" width="10.0" style="5"/>
    <col min="11182" max="11182" customWidth="1" bestFit="1" width="10.0" style="5"/>
    <col min="11183" max="11183" customWidth="1" bestFit="1" width="10.0" style="5"/>
    <col min="11184" max="11184" customWidth="1" bestFit="1" width="10.0" style="5"/>
    <col min="11185" max="11185" customWidth="1" bestFit="1" width="10.0" style="5"/>
    <col min="11186" max="11186" customWidth="1" bestFit="1" width="10.0" style="5"/>
    <col min="11187" max="11187" customWidth="1" bestFit="1" width="10.0" style="5"/>
    <col min="11188" max="11188" customWidth="1" bestFit="1" width="10.0" style="5"/>
    <col min="11189" max="11189" customWidth="1" bestFit="1" width="10.0" style="5"/>
    <col min="11190" max="11190" customWidth="1" bestFit="1" width="10.0" style="5"/>
    <col min="11191" max="11191" customWidth="1" bestFit="1" width="10.0" style="5"/>
    <col min="11192" max="11192" customWidth="1" bestFit="1" width="10.0" style="5"/>
    <col min="11193" max="11193" customWidth="1" bestFit="1" width="10.0" style="5"/>
    <col min="11194" max="11194" customWidth="1" bestFit="1" width="10.0" style="5"/>
    <col min="11195" max="11195" customWidth="1" bestFit="1" width="10.0" style="5"/>
    <col min="11196" max="11196" customWidth="1" bestFit="1" width="10.0" style="5"/>
    <col min="11197" max="11197" customWidth="1" bestFit="1" width="10.0" style="5"/>
    <col min="11198" max="11198" customWidth="1" bestFit="1" width="10.0" style="5"/>
    <col min="11199" max="11199" customWidth="1" bestFit="1" width="10.0" style="5"/>
    <col min="11200" max="11200" customWidth="1" bestFit="1" width="10.0" style="5"/>
    <col min="11201" max="11201" customWidth="1" bestFit="1" width="10.0" style="5"/>
    <col min="11202" max="11202" customWidth="1" bestFit="1" width="10.0" style="5"/>
    <col min="11203" max="11203" customWidth="1" bestFit="1" width="10.0" style="5"/>
    <col min="11204" max="11204" customWidth="1" bestFit="1" width="10.0" style="5"/>
    <col min="11205" max="11205" customWidth="1" bestFit="1" width="10.0" style="5"/>
    <col min="11206" max="11206" customWidth="1" bestFit="1" width="10.0" style="5"/>
    <col min="11207" max="11207" customWidth="1" bestFit="1" width="10.0" style="5"/>
    <col min="11208" max="11208" customWidth="1" bestFit="1" width="10.0" style="5"/>
    <col min="11209" max="11209" customWidth="1" bestFit="1" width="10.0" style="5"/>
    <col min="11210" max="11210" customWidth="1" bestFit="1" width="10.0" style="5"/>
    <col min="11211" max="11211" customWidth="1" bestFit="1" width="10.0" style="5"/>
    <col min="11212" max="11212" customWidth="1" bestFit="1" width="10.0" style="5"/>
    <col min="11213" max="11213" customWidth="1" bestFit="1" width="10.0" style="5"/>
    <col min="11214" max="11214" customWidth="1" bestFit="1" width="10.0" style="5"/>
    <col min="11215" max="11215" customWidth="1" bestFit="1" width="10.0" style="5"/>
    <col min="11216" max="11216" customWidth="1" bestFit="1" width="10.0" style="5"/>
    <col min="11217" max="11217" customWidth="1" bestFit="1" width="10.0" style="5"/>
    <col min="11218" max="11218" customWidth="1" bestFit="1" width="10.0" style="5"/>
    <col min="11219" max="11219" customWidth="1" bestFit="1" width="10.0" style="5"/>
    <col min="11220" max="11220" customWidth="1" bestFit="1" width="10.0" style="5"/>
    <col min="11221" max="11221" customWidth="1" bestFit="1" width="10.0" style="5"/>
    <col min="11222" max="11222" customWidth="1" bestFit="1" width="10.0" style="5"/>
    <col min="11223" max="11223" customWidth="1" bestFit="1" width="10.0" style="5"/>
    <col min="11224" max="11224" customWidth="1" bestFit="1" width="10.0" style="5"/>
    <col min="11225" max="11225" customWidth="1" bestFit="1" width="10.0" style="5"/>
    <col min="11226" max="11226" customWidth="1" bestFit="1" width="10.0" style="5"/>
    <col min="11227" max="11227" customWidth="1" bestFit="1" width="10.0" style="5"/>
    <col min="11228" max="11228" customWidth="1" bestFit="1" width="10.0" style="5"/>
    <col min="11229" max="11229" customWidth="1" bestFit="1" width="10.0" style="5"/>
    <col min="11230" max="11230" customWidth="1" bestFit="1" width="10.0" style="5"/>
    <col min="11231" max="11231" customWidth="1" bestFit="1" width="10.0" style="5"/>
    <col min="11232" max="11232" customWidth="1" bestFit="1" width="10.0" style="5"/>
    <col min="11233" max="11233" customWidth="1" bestFit="1" width="10.0" style="5"/>
    <col min="11234" max="11234" customWidth="1" bestFit="1" width="10.0" style="5"/>
    <col min="11235" max="11235" customWidth="1" bestFit="1" width="10.0" style="5"/>
    <col min="11236" max="11236" customWidth="1" bestFit="1" width="10.0" style="5"/>
    <col min="11237" max="11237" customWidth="1" bestFit="1" width="10.0" style="5"/>
    <col min="11238" max="11238" customWidth="1" bestFit="1" width="10.0" style="5"/>
    <col min="11239" max="11239" customWidth="1" bestFit="1" width="10.0" style="5"/>
    <col min="11240" max="11240" customWidth="1" bestFit="1" width="10.0" style="5"/>
    <col min="11241" max="11241" customWidth="1" bestFit="1" width="10.0" style="5"/>
    <col min="11242" max="11242" customWidth="1" bestFit="1" width="10.0" style="5"/>
    <col min="11243" max="11243" customWidth="1" bestFit="1" width="10.0" style="5"/>
    <col min="11244" max="11244" customWidth="1" bestFit="1" width="10.0" style="5"/>
    <col min="11245" max="11245" customWidth="1" bestFit="1" width="10.0" style="5"/>
    <col min="11246" max="11246" customWidth="1" bestFit="1" width="10.0" style="5"/>
    <col min="11247" max="11247" customWidth="1" bestFit="1" width="10.0" style="5"/>
    <col min="11248" max="11248" customWidth="1" bestFit="1" width="10.0" style="5"/>
    <col min="11249" max="11249" customWidth="1" bestFit="1" width="10.0" style="5"/>
    <col min="11250" max="11250" customWidth="1" bestFit="1" width="10.0" style="5"/>
    <col min="11251" max="11251" customWidth="1" bestFit="1" width="10.0" style="5"/>
    <col min="11252" max="11252" customWidth="1" bestFit="1" width="10.0" style="5"/>
    <col min="11253" max="11253" customWidth="1" bestFit="1" width="10.0" style="5"/>
    <col min="11254" max="11254" customWidth="1" bestFit="1" width="10.0" style="5"/>
    <col min="11255" max="11255" customWidth="1" bestFit="1" width="10.0" style="5"/>
    <col min="11256" max="11256" customWidth="1" bestFit="1" width="10.0" style="5"/>
    <col min="11257" max="11257" customWidth="1" bestFit="1" width="10.0" style="5"/>
    <col min="11258" max="11258" customWidth="1" bestFit="1" width="10.0" style="5"/>
    <col min="11259" max="11259" customWidth="1" bestFit="1" width="10.0" style="5"/>
    <col min="11260" max="11260" customWidth="1" bestFit="1" width="10.0" style="5"/>
    <col min="11261" max="11261" customWidth="1" bestFit="1" width="10.0" style="5"/>
    <col min="11262" max="11262" customWidth="1" bestFit="1" width="10.0" style="5"/>
    <col min="11263" max="11263" customWidth="1" bestFit="1" width="10.0" style="5"/>
    <col min="11264" max="11264" customWidth="1" bestFit="1" width="10.0" style="5"/>
    <col min="11265" max="11265" customWidth="1" bestFit="1" width="10.0" style="5"/>
    <col min="11266" max="11266" customWidth="1" bestFit="1" width="10.0" style="5"/>
    <col min="11267" max="11267" customWidth="1" bestFit="1" width="10.0" style="5"/>
    <col min="11268" max="11268" customWidth="1" bestFit="1" width="10.0" style="5"/>
    <col min="11269" max="11269" customWidth="1" bestFit="1" width="10.0" style="5"/>
    <col min="11270" max="11270" customWidth="1" bestFit="1" width="10.0" style="5"/>
    <col min="11271" max="11271" customWidth="1" bestFit="1" width="10.0" style="5"/>
    <col min="11272" max="11272" customWidth="1" bestFit="1" width="10.0" style="5"/>
    <col min="11273" max="11273" customWidth="1" bestFit="1" width="10.0" style="5"/>
    <col min="11274" max="11274" customWidth="1" bestFit="1" width="10.0" style="5"/>
    <col min="11275" max="11275" customWidth="1" bestFit="1" width="10.0" style="5"/>
    <col min="11276" max="11276" customWidth="1" bestFit="1" width="10.0" style="5"/>
    <col min="11277" max="11277" customWidth="1" bestFit="1" width="10.0" style="5"/>
    <col min="11278" max="11278" customWidth="1" bestFit="1" width="10.0" style="5"/>
    <col min="11279" max="11279" customWidth="1" bestFit="1" width="10.0" style="5"/>
    <col min="11280" max="11280" customWidth="1" bestFit="1" width="10.0" style="5"/>
    <col min="11281" max="11281" customWidth="1" bestFit="1" width="10.0" style="5"/>
    <col min="11282" max="11282" customWidth="1" bestFit="1" width="10.0" style="5"/>
    <col min="11283" max="11283" customWidth="1" bestFit="1" width="10.0" style="5"/>
    <col min="11284" max="11284" customWidth="1" bestFit="1" width="10.0" style="5"/>
    <col min="11285" max="11285" customWidth="1" bestFit="1" width="10.0" style="5"/>
    <col min="11286" max="11286" customWidth="1" bestFit="1" width="10.0" style="5"/>
    <col min="11287" max="11287" customWidth="1" bestFit="1" width="10.0" style="5"/>
    <col min="11288" max="11288" customWidth="1" bestFit="1" width="10.0" style="5"/>
    <col min="11289" max="11289" customWidth="1" bestFit="1" width="10.0" style="5"/>
    <col min="11290" max="11290" customWidth="1" bestFit="1" width="10.0" style="5"/>
    <col min="11291" max="11291" customWidth="1" bestFit="1" width="10.0" style="5"/>
    <col min="11292" max="11292" customWidth="1" bestFit="1" width="10.0" style="5"/>
    <col min="11293" max="11293" customWidth="1" bestFit="1" width="10.0" style="5"/>
    <col min="11294" max="11294" customWidth="1" bestFit="1" width="10.0" style="5"/>
    <col min="11295" max="11295" customWidth="1" bestFit="1" width="10.0" style="5"/>
    <col min="11296" max="11296" customWidth="1" bestFit="1" width="10.0" style="5"/>
    <col min="11297" max="11297" customWidth="1" bestFit="1" width="10.0" style="5"/>
    <col min="11298" max="11298" customWidth="1" bestFit="1" width="10.0" style="5"/>
    <col min="11299" max="11299" customWidth="1" bestFit="1" width="10.0" style="5"/>
    <col min="11300" max="11300" customWidth="1" bestFit="1" width="10.0" style="5"/>
    <col min="11301" max="11301" customWidth="1" bestFit="1" width="10.0" style="5"/>
    <col min="11302" max="11302" customWidth="1" bestFit="1" width="10.0" style="5"/>
    <col min="11303" max="11303" customWidth="1" bestFit="1" width="10.0" style="5"/>
    <col min="11304" max="11304" customWidth="1" bestFit="1" width="10.0" style="5"/>
    <col min="11305" max="11305" customWidth="1" bestFit="1" width="10.0" style="5"/>
    <col min="11306" max="11306" customWidth="1" bestFit="1" width="10.0" style="5"/>
    <col min="11307" max="11307" customWidth="1" bestFit="1" width="10.0" style="5"/>
    <col min="11308" max="11308" customWidth="1" bestFit="1" width="10.0" style="5"/>
    <col min="11309" max="11309" customWidth="1" bestFit="1" width="10.0" style="5"/>
    <col min="11310" max="11310" customWidth="1" bestFit="1" width="10.0" style="5"/>
    <col min="11311" max="11311" customWidth="1" bestFit="1" width="10.0" style="5"/>
    <col min="11312" max="11312" customWidth="1" bestFit="1" width="10.0" style="5"/>
    <col min="11313" max="11313" customWidth="1" bestFit="1" width="10.0" style="5"/>
    <col min="11314" max="11314" customWidth="1" bestFit="1" width="10.0" style="5"/>
    <col min="11315" max="11315" customWidth="1" bestFit="1" width="10.0" style="5"/>
    <col min="11316" max="11316" customWidth="1" bestFit="1" width="10.0" style="5"/>
    <col min="11317" max="11317" customWidth="1" bestFit="1" width="10.0" style="5"/>
    <col min="11318" max="11318" customWidth="1" bestFit="1" width="10.0" style="5"/>
    <col min="11319" max="11319" customWidth="1" bestFit="1" width="10.0" style="5"/>
    <col min="11320" max="11320" customWidth="1" bestFit="1" width="10.0" style="5"/>
    <col min="11321" max="11321" customWidth="1" bestFit="1" width="10.0" style="5"/>
    <col min="11322" max="11322" customWidth="1" bestFit="1" width="10.0" style="5"/>
    <col min="11323" max="11323" customWidth="1" bestFit="1" width="10.0" style="5"/>
    <col min="11324" max="11324" customWidth="1" bestFit="1" width="10.0" style="5"/>
    <col min="11325" max="11325" customWidth="1" bestFit="1" width="10.0" style="5"/>
    <col min="11326" max="11326" customWidth="1" bestFit="1" width="10.0" style="5"/>
    <col min="11327" max="11327" customWidth="1" bestFit="1" width="10.0" style="5"/>
    <col min="11328" max="11328" customWidth="1" bestFit="1" width="10.0" style="5"/>
    <col min="11329" max="11329" customWidth="1" bestFit="1" width="10.0" style="5"/>
    <col min="11330" max="11330" customWidth="1" bestFit="1" width="10.0" style="5"/>
    <col min="11331" max="11331" customWidth="1" bestFit="1" width="10.0" style="5"/>
    <col min="11332" max="11332" customWidth="1" bestFit="1" width="10.0" style="5"/>
    <col min="11333" max="11333" customWidth="1" bestFit="1" width="10.0" style="5"/>
    <col min="11334" max="11334" customWidth="1" bestFit="1" width="10.0" style="5"/>
    <col min="11335" max="11335" customWidth="1" bestFit="1" width="10.0" style="5"/>
    <col min="11336" max="11336" customWidth="1" bestFit="1" width="10.0" style="5"/>
    <col min="11337" max="11337" customWidth="1" bestFit="1" width="10.0" style="5"/>
    <col min="11338" max="11338" customWidth="1" bestFit="1" width="10.0" style="5"/>
    <col min="11339" max="11339" customWidth="1" bestFit="1" width="10.0" style="5"/>
    <col min="11340" max="11340" customWidth="1" bestFit="1" width="10.0" style="5"/>
    <col min="11341" max="11341" customWidth="1" bestFit="1" width="10.0" style="5"/>
    <col min="11342" max="11342" customWidth="1" bestFit="1" width="10.0" style="5"/>
    <col min="11343" max="11343" customWidth="1" bestFit="1" width="10.0" style="5"/>
    <col min="11344" max="11344" customWidth="1" bestFit="1" width="10.0" style="5"/>
    <col min="11345" max="11345" customWidth="1" bestFit="1" width="10.0" style="5"/>
    <col min="11346" max="11346" customWidth="1" bestFit="1" width="10.0" style="5"/>
    <col min="11347" max="11347" customWidth="1" bestFit="1" width="10.0" style="5"/>
    <col min="11348" max="11348" customWidth="1" bestFit="1" width="10.0" style="5"/>
    <col min="11349" max="11349" customWidth="1" bestFit="1" width="10.0" style="5"/>
    <col min="11350" max="11350" customWidth="1" bestFit="1" width="10.0" style="5"/>
    <col min="11351" max="11351" customWidth="1" bestFit="1" width="10.0" style="5"/>
    <col min="11352" max="11352" customWidth="1" bestFit="1" width="10.0" style="5"/>
    <col min="11353" max="11353" customWidth="1" bestFit="1" width="10.0" style="5"/>
    <col min="11354" max="11354" customWidth="1" bestFit="1" width="10.0" style="5"/>
    <col min="11355" max="11355" customWidth="1" bestFit="1" width="10.0" style="5"/>
    <col min="11356" max="11356" customWidth="1" bestFit="1" width="10.0" style="5"/>
    <col min="11357" max="11357" customWidth="1" bestFit="1" width="10.0" style="5"/>
    <col min="11358" max="11358" customWidth="1" bestFit="1" width="10.0" style="5"/>
    <col min="11359" max="11359" customWidth="1" bestFit="1" width="10.0" style="5"/>
    <col min="11360" max="11360" customWidth="1" bestFit="1" width="10.0" style="5"/>
    <col min="11361" max="11361" customWidth="1" bestFit="1" width="10.0" style="5"/>
    <col min="11362" max="11362" customWidth="1" bestFit="1" width="10.0" style="5"/>
    <col min="11363" max="11363" customWidth="1" bestFit="1" width="10.0" style="5"/>
    <col min="11364" max="11364" customWidth="1" bestFit="1" width="10.0" style="5"/>
    <col min="11365" max="11365" customWidth="1" bestFit="1" width="10.0" style="5"/>
    <col min="11366" max="11366" customWidth="1" bestFit="1" width="10.0" style="5"/>
    <col min="11367" max="11367" customWidth="1" bestFit="1" width="10.0" style="5"/>
    <col min="11368" max="11368" customWidth="1" bestFit="1" width="10.0" style="5"/>
    <col min="11369" max="11369" customWidth="1" bestFit="1" width="10.0" style="5"/>
    <col min="11370" max="11370" customWidth="1" bestFit="1" width="10.0" style="5"/>
    <col min="11371" max="11371" customWidth="1" bestFit="1" width="10.0" style="5"/>
    <col min="11372" max="11372" customWidth="1" bestFit="1" width="10.0" style="5"/>
    <col min="11373" max="11373" customWidth="1" bestFit="1" width="10.0" style="5"/>
    <col min="11374" max="11374" customWidth="1" bestFit="1" width="10.0" style="5"/>
    <col min="11375" max="11375" customWidth="1" bestFit="1" width="10.0" style="5"/>
    <col min="11376" max="11376" customWidth="1" bestFit="1" width="10.0" style="5"/>
    <col min="11377" max="11377" customWidth="1" bestFit="1" width="10.0" style="5"/>
    <col min="11378" max="11378" customWidth="1" bestFit="1" width="10.0" style="5"/>
    <col min="11379" max="11379" customWidth="1" bestFit="1" width="10.0" style="5"/>
    <col min="11380" max="11380" customWidth="1" bestFit="1" width="10.0" style="5"/>
    <col min="11381" max="11381" customWidth="1" bestFit="1" width="10.0" style="5"/>
    <col min="11382" max="11382" customWidth="1" bestFit="1" width="10.0" style="5"/>
    <col min="11383" max="11383" customWidth="1" bestFit="1" width="10.0" style="5"/>
    <col min="11384" max="11384" customWidth="1" bestFit="1" width="10.0" style="5"/>
    <col min="11385" max="11385" customWidth="1" bestFit="1" width="10.0" style="5"/>
    <col min="11386" max="11386" customWidth="1" bestFit="1" width="10.0" style="5"/>
    <col min="11387" max="11387" customWidth="1" bestFit="1" width="10.0" style="5"/>
    <col min="11388" max="11388" customWidth="1" bestFit="1" width="10.0" style="5"/>
    <col min="11389" max="11389" customWidth="1" bestFit="1" width="10.0" style="5"/>
    <col min="11390" max="11390" customWidth="1" bestFit="1" width="10.0" style="5"/>
    <col min="11391" max="11391" customWidth="1" bestFit="1" width="10.0" style="5"/>
    <col min="11392" max="11392" customWidth="1" bestFit="1" width="10.0" style="5"/>
    <col min="11393" max="11393" customWidth="1" bestFit="1" width="10.0" style="5"/>
    <col min="11394" max="11394" customWidth="1" bestFit="1" width="10.0" style="5"/>
    <col min="11395" max="11395" customWidth="1" bestFit="1" width="10.0" style="5"/>
    <col min="11396" max="11396" customWidth="1" bestFit="1" width="10.0" style="5"/>
    <col min="11397" max="11397" customWidth="1" bestFit="1" width="10.0" style="5"/>
    <col min="11398" max="11398" customWidth="1" bestFit="1" width="10.0" style="5"/>
    <col min="11399" max="11399" customWidth="1" bestFit="1" width="10.0" style="5"/>
    <col min="11400" max="11400" customWidth="1" bestFit="1" width="10.0" style="5"/>
    <col min="11401" max="11401" customWidth="1" bestFit="1" width="10.0" style="5"/>
    <col min="11402" max="11402" customWidth="1" bestFit="1" width="10.0" style="5"/>
    <col min="11403" max="11403" customWidth="1" bestFit="1" width="10.0" style="5"/>
    <col min="11404" max="11404" customWidth="1" bestFit="1" width="10.0" style="5"/>
    <col min="11405" max="11405" customWidth="1" bestFit="1" width="10.0" style="5"/>
    <col min="11406" max="11406" customWidth="1" bestFit="1" width="10.0" style="5"/>
    <col min="11407" max="11407" customWidth="1" bestFit="1" width="10.0" style="5"/>
    <col min="11408" max="11408" customWidth="1" bestFit="1" width="10.0" style="5"/>
    <col min="11409" max="11409" customWidth="1" bestFit="1" width="10.0" style="5"/>
    <col min="11410" max="11410" customWidth="1" bestFit="1" width="10.0" style="5"/>
    <col min="11411" max="11411" customWidth="1" bestFit="1" width="10.0" style="5"/>
    <col min="11412" max="11412" customWidth="1" bestFit="1" width="10.0" style="5"/>
    <col min="11413" max="11413" customWidth="1" bestFit="1" width="10.0" style="5"/>
    <col min="11414" max="11414" customWidth="1" bestFit="1" width="10.0" style="5"/>
    <col min="11415" max="11415" customWidth="1" bestFit="1" width="10.0" style="5"/>
    <col min="11416" max="11416" customWidth="1" bestFit="1" width="10.0" style="5"/>
    <col min="11417" max="11417" customWidth="1" bestFit="1" width="10.0" style="5"/>
    <col min="11418" max="11418" customWidth="1" bestFit="1" width="10.0" style="5"/>
    <col min="11419" max="11419" customWidth="1" bestFit="1" width="10.0" style="5"/>
    <col min="11420" max="11420" customWidth="1" bestFit="1" width="10.0" style="5"/>
    <col min="11421" max="11421" customWidth="1" bestFit="1" width="10.0" style="5"/>
    <col min="11422" max="11422" customWidth="1" bestFit="1" width="10.0" style="5"/>
    <col min="11423" max="11423" customWidth="1" bestFit="1" width="10.0" style="5"/>
    <col min="11424" max="11424" customWidth="1" bestFit="1" width="10.0" style="5"/>
    <col min="11425" max="11425" customWidth="1" bestFit="1" width="10.0" style="5"/>
    <col min="11426" max="11426" customWidth="1" bestFit="1" width="10.0" style="5"/>
    <col min="11427" max="11427" customWidth="1" bestFit="1" width="10.0" style="5"/>
    <col min="11428" max="11428" customWidth="1" bestFit="1" width="10.0" style="5"/>
    <col min="11429" max="11429" customWidth="1" bestFit="1" width="10.0" style="5"/>
    <col min="11430" max="11430" customWidth="1" bestFit="1" width="10.0" style="5"/>
    <col min="11431" max="11431" customWidth="1" bestFit="1" width="10.0" style="5"/>
    <col min="11432" max="11432" customWidth="1" bestFit="1" width="10.0" style="5"/>
    <col min="11433" max="11433" customWidth="1" bestFit="1" width="10.0" style="5"/>
    <col min="11434" max="11434" customWidth="1" bestFit="1" width="10.0" style="5"/>
    <col min="11435" max="11435" customWidth="1" bestFit="1" width="10.0" style="5"/>
    <col min="11436" max="11436" customWidth="1" bestFit="1" width="10.0" style="5"/>
    <col min="11437" max="11437" customWidth="1" bestFit="1" width="10.0" style="5"/>
    <col min="11438" max="11438" customWidth="1" bestFit="1" width="10.0" style="5"/>
    <col min="11439" max="11439" customWidth="1" bestFit="1" width="10.0" style="5"/>
    <col min="11440" max="11440" customWidth="1" bestFit="1" width="10.0" style="5"/>
    <col min="11441" max="11441" customWidth="1" bestFit="1" width="10.0" style="5"/>
    <col min="11442" max="11442" customWidth="1" bestFit="1" width="10.0" style="5"/>
    <col min="11443" max="11443" customWidth="1" bestFit="1" width="10.0" style="5"/>
    <col min="11444" max="11444" customWidth="1" bestFit="1" width="10.0" style="5"/>
    <col min="11445" max="11445" customWidth="1" bestFit="1" width="10.0" style="5"/>
    <col min="11446" max="11446" customWidth="1" bestFit="1" width="10.0" style="5"/>
    <col min="11447" max="11447" customWidth="1" bestFit="1" width="10.0" style="5"/>
    <col min="11448" max="11448" customWidth="1" bestFit="1" width="10.0" style="5"/>
    <col min="11449" max="11449" customWidth="1" bestFit="1" width="10.0" style="5"/>
    <col min="11450" max="11450" customWidth="1" bestFit="1" width="10.0" style="5"/>
    <col min="11451" max="11451" customWidth="1" bestFit="1" width="10.0" style="5"/>
    <col min="11452" max="11452" customWidth="1" bestFit="1" width="10.0" style="5"/>
    <col min="11453" max="11453" customWidth="1" bestFit="1" width="10.0" style="5"/>
    <col min="11454" max="11454" customWidth="1" bestFit="1" width="10.0" style="5"/>
    <col min="11455" max="11455" customWidth="1" bestFit="1" width="10.0" style="5"/>
    <col min="11456" max="11456" customWidth="1" bestFit="1" width="10.0" style="5"/>
    <col min="11457" max="11457" customWidth="1" bestFit="1" width="10.0" style="5"/>
    <col min="11458" max="11458" customWidth="1" bestFit="1" width="10.0" style="5"/>
    <col min="11459" max="11459" customWidth="1" bestFit="1" width="10.0" style="5"/>
    <col min="11460" max="11460" customWidth="1" bestFit="1" width="10.0" style="5"/>
    <col min="11461" max="11461" customWidth="1" bestFit="1" width="10.0" style="5"/>
    <col min="11462" max="11462" customWidth="1" bestFit="1" width="10.0" style="5"/>
    <col min="11463" max="11463" customWidth="1" bestFit="1" width="10.0" style="5"/>
    <col min="11464" max="11464" customWidth="1" bestFit="1" width="10.0" style="5"/>
    <col min="11465" max="11465" customWidth="1" bestFit="1" width="10.0" style="5"/>
    <col min="11466" max="11466" customWidth="1" bestFit="1" width="10.0" style="5"/>
    <col min="11467" max="11467" customWidth="1" bestFit="1" width="10.0" style="5"/>
    <col min="11468" max="11468" customWidth="1" bestFit="1" width="10.0" style="5"/>
    <col min="11469" max="11469" customWidth="1" bestFit="1" width="10.0" style="5"/>
    <col min="11470" max="11470" customWidth="1" bestFit="1" width="10.0" style="5"/>
    <col min="11471" max="11471" customWidth="1" bestFit="1" width="10.0" style="5"/>
    <col min="11472" max="11472" customWidth="1" bestFit="1" width="10.0" style="5"/>
    <col min="11473" max="11473" customWidth="1" bestFit="1" width="10.0" style="5"/>
    <col min="11474" max="11474" customWidth="1" bestFit="1" width="10.0" style="5"/>
    <col min="11475" max="11475" customWidth="1" bestFit="1" width="10.0" style="5"/>
    <col min="11476" max="11476" customWidth="1" bestFit="1" width="10.0" style="5"/>
    <col min="11477" max="11477" customWidth="1" bestFit="1" width="10.0" style="5"/>
    <col min="11478" max="11478" customWidth="1" bestFit="1" width="10.0" style="5"/>
    <col min="11479" max="11479" customWidth="1" bestFit="1" width="10.0" style="5"/>
    <col min="11480" max="11480" customWidth="1" bestFit="1" width="10.0" style="5"/>
    <col min="11481" max="11481" customWidth="1" bestFit="1" width="10.0" style="5"/>
    <col min="11482" max="11482" customWidth="1" bestFit="1" width="10.0" style="5"/>
    <col min="11483" max="11483" customWidth="1" bestFit="1" width="10.0" style="5"/>
    <col min="11484" max="11484" customWidth="1" bestFit="1" width="10.0" style="5"/>
    <col min="11485" max="11485" customWidth="1" bestFit="1" width="10.0" style="5"/>
    <col min="11486" max="11486" customWidth="1" bestFit="1" width="10.0" style="5"/>
    <col min="11487" max="11487" customWidth="1" bestFit="1" width="10.0" style="5"/>
    <col min="11488" max="11488" customWidth="1" bestFit="1" width="10.0" style="5"/>
    <col min="11489" max="11489" customWidth="1" bestFit="1" width="10.0" style="5"/>
    <col min="11490" max="11490" customWidth="1" bestFit="1" width="10.0" style="5"/>
    <col min="11491" max="11491" customWidth="1" bestFit="1" width="10.0" style="5"/>
    <col min="11492" max="11492" customWidth="1" bestFit="1" width="10.0" style="5"/>
    <col min="11493" max="11493" customWidth="1" bestFit="1" width="10.0" style="5"/>
    <col min="11494" max="11494" customWidth="1" bestFit="1" width="10.0" style="5"/>
    <col min="11495" max="11495" customWidth="1" bestFit="1" width="10.0" style="5"/>
    <col min="11496" max="11496" customWidth="1" bestFit="1" width="10.0" style="5"/>
    <col min="11497" max="11497" customWidth="1" bestFit="1" width="10.0" style="5"/>
    <col min="11498" max="11498" customWidth="1" bestFit="1" width="10.0" style="5"/>
    <col min="11499" max="11499" customWidth="1" bestFit="1" width="10.0" style="5"/>
    <col min="11500" max="11500" customWidth="1" bestFit="1" width="10.0" style="5"/>
    <col min="11501" max="11501" customWidth="1" bestFit="1" width="10.0" style="5"/>
    <col min="11502" max="11502" customWidth="1" bestFit="1" width="10.0" style="5"/>
    <col min="11503" max="11503" customWidth="1" bestFit="1" width="10.0" style="5"/>
    <col min="11504" max="11504" customWidth="1" bestFit="1" width="10.0" style="5"/>
    <col min="11505" max="11505" customWidth="1" bestFit="1" width="10.0" style="5"/>
    <col min="11506" max="11506" customWidth="1" bestFit="1" width="10.0" style="5"/>
    <col min="11507" max="11507" customWidth="1" bestFit="1" width="10.0" style="5"/>
    <col min="11508" max="11508" customWidth="1" bestFit="1" width="10.0" style="5"/>
    <col min="11509" max="11509" customWidth="1" bestFit="1" width="10.0" style="5"/>
    <col min="11510" max="11510" customWidth="1" bestFit="1" width="10.0" style="5"/>
    <col min="11511" max="11511" customWidth="1" bestFit="1" width="10.0" style="5"/>
    <col min="11512" max="11512" customWidth="1" bestFit="1" width="10.0" style="5"/>
    <col min="11513" max="11513" customWidth="1" bestFit="1" width="10.0" style="5"/>
    <col min="11514" max="11514" customWidth="1" bestFit="1" width="10.0" style="5"/>
    <col min="11515" max="11515" customWidth="1" bestFit="1" width="10.0" style="5"/>
    <col min="11516" max="11516" customWidth="1" bestFit="1" width="10.0" style="5"/>
    <col min="11517" max="11517" customWidth="1" bestFit="1" width="10.0" style="5"/>
    <col min="11518" max="11518" customWidth="1" bestFit="1" width="10.0" style="5"/>
    <col min="11519" max="11519" customWidth="1" bestFit="1" width="10.0" style="5"/>
    <col min="11520" max="11520" customWidth="1" bestFit="1" width="10.0" style="5"/>
    <col min="11521" max="11521" customWidth="1" bestFit="1" width="10.0" style="5"/>
    <col min="11522" max="11522" customWidth="1" bestFit="1" width="10.0" style="5"/>
    <col min="11523" max="11523" customWidth="1" bestFit="1" width="10.0" style="5"/>
    <col min="11524" max="11524" customWidth="1" bestFit="1" width="10.0" style="5"/>
    <col min="11525" max="11525" customWidth="1" bestFit="1" width="10.0" style="5"/>
    <col min="11526" max="11526" customWidth="1" bestFit="1" width="10.0" style="5"/>
    <col min="11527" max="11527" customWidth="1" bestFit="1" width="10.0" style="5"/>
    <col min="11528" max="11528" customWidth="1" bestFit="1" width="10.0" style="5"/>
    <col min="11529" max="11529" customWidth="1" bestFit="1" width="10.0" style="5"/>
    <col min="11530" max="11530" customWidth="1" bestFit="1" width="10.0" style="5"/>
    <col min="11531" max="11531" customWidth="1" bestFit="1" width="10.0" style="5"/>
    <col min="11532" max="11532" customWidth="1" bestFit="1" width="10.0" style="5"/>
    <col min="11533" max="11533" customWidth="1" bestFit="1" width="10.0" style="5"/>
    <col min="11534" max="11534" customWidth="1" bestFit="1" width="10.0" style="5"/>
    <col min="11535" max="11535" customWidth="1" bestFit="1" width="10.0" style="5"/>
    <col min="11536" max="11536" customWidth="1" bestFit="1" width="10.0" style="5"/>
    <col min="11537" max="11537" customWidth="1" bestFit="1" width="10.0" style="5"/>
    <col min="11538" max="11538" customWidth="1" bestFit="1" width="10.0" style="5"/>
    <col min="11539" max="11539" customWidth="1" bestFit="1" width="10.0" style="5"/>
    <col min="11540" max="11540" customWidth="1" bestFit="1" width="10.0" style="5"/>
    <col min="11541" max="11541" customWidth="1" bestFit="1" width="10.0" style="5"/>
    <col min="11542" max="11542" customWidth="1" bestFit="1" width="10.0" style="5"/>
    <col min="11543" max="11543" customWidth="1" bestFit="1" width="10.0" style="5"/>
    <col min="11544" max="11544" customWidth="1" bestFit="1" width="10.0" style="5"/>
    <col min="11545" max="11545" customWidth="1" bestFit="1" width="10.0" style="5"/>
    <col min="11546" max="11546" customWidth="1" bestFit="1" width="10.0" style="5"/>
    <col min="11547" max="11547" customWidth="1" bestFit="1" width="10.0" style="5"/>
    <col min="11548" max="11548" customWidth="1" bestFit="1" width="10.0" style="5"/>
    <col min="11549" max="11549" customWidth="1" bestFit="1" width="10.0" style="5"/>
    <col min="11550" max="11550" customWidth="1" bestFit="1" width="10.0" style="5"/>
    <col min="11551" max="11551" customWidth="1" bestFit="1" width="10.0" style="5"/>
    <col min="11552" max="11552" customWidth="1" bestFit="1" width="10.0" style="5"/>
    <col min="11553" max="11553" customWidth="1" bestFit="1" width="10.0" style="5"/>
    <col min="11554" max="11554" customWidth="1" bestFit="1" width="10.0" style="5"/>
    <col min="11555" max="11555" customWidth="1" bestFit="1" width="10.0" style="5"/>
    <col min="11556" max="11556" customWidth="1" bestFit="1" width="10.0" style="5"/>
    <col min="11557" max="11557" customWidth="1" bestFit="1" width="10.0" style="5"/>
    <col min="11558" max="11558" customWidth="1" bestFit="1" width="10.0" style="5"/>
    <col min="11559" max="11559" customWidth="1" bestFit="1" width="10.0" style="5"/>
    <col min="11560" max="11560" customWidth="1" bestFit="1" width="10.0" style="5"/>
    <col min="11561" max="11561" customWidth="1" bestFit="1" width="10.0" style="5"/>
    <col min="11562" max="11562" customWidth="1" bestFit="1" width="10.0" style="5"/>
    <col min="11563" max="11563" customWidth="1" bestFit="1" width="10.0" style="5"/>
    <col min="11564" max="11564" customWidth="1" bestFit="1" width="10.0" style="5"/>
    <col min="11565" max="11565" customWidth="1" bestFit="1" width="10.0" style="5"/>
    <col min="11566" max="11566" customWidth="1" bestFit="1" width="10.0" style="5"/>
    <col min="11567" max="11567" customWidth="1" bestFit="1" width="10.0" style="5"/>
    <col min="11568" max="11568" customWidth="1" bestFit="1" width="10.0" style="5"/>
    <col min="11569" max="11569" customWidth="1" bestFit="1" width="10.0" style="5"/>
    <col min="11570" max="11570" customWidth="1" bestFit="1" width="10.0" style="5"/>
    <col min="11571" max="11571" customWidth="1" bestFit="1" width="10.0" style="5"/>
    <col min="11572" max="11572" customWidth="1" bestFit="1" width="10.0" style="5"/>
    <col min="11573" max="11573" customWidth="1" bestFit="1" width="10.0" style="5"/>
    <col min="11574" max="11574" customWidth="1" bestFit="1" width="10.0" style="5"/>
    <col min="11575" max="11575" customWidth="1" bestFit="1" width="10.0" style="5"/>
    <col min="11576" max="11576" customWidth="1" bestFit="1" width="10.0" style="5"/>
    <col min="11577" max="11577" customWidth="1" bestFit="1" width="10.0" style="5"/>
    <col min="11578" max="11578" customWidth="1" bestFit="1" width="10.0" style="5"/>
    <col min="11579" max="11579" customWidth="1" bestFit="1" width="10.0" style="5"/>
    <col min="11580" max="11580" customWidth="1" bestFit="1" width="10.0" style="5"/>
    <col min="11581" max="11581" customWidth="1" bestFit="1" width="10.0" style="5"/>
    <col min="11582" max="11582" customWidth="1" bestFit="1" width="10.0" style="5"/>
    <col min="11583" max="11583" customWidth="1" bestFit="1" width="10.0" style="5"/>
    <col min="11584" max="11584" customWidth="1" bestFit="1" width="10.0" style="5"/>
    <col min="11585" max="11585" customWidth="1" bestFit="1" width="10.0" style="5"/>
    <col min="11586" max="11586" customWidth="1" bestFit="1" width="10.0" style="5"/>
    <col min="11587" max="11587" customWidth="1" bestFit="1" width="10.0" style="5"/>
    <col min="11588" max="11588" customWidth="1" bestFit="1" width="10.0" style="5"/>
    <col min="11589" max="11589" customWidth="1" bestFit="1" width="10.0" style="5"/>
    <col min="11590" max="11590" customWidth="1" bestFit="1" width="10.0" style="5"/>
    <col min="11591" max="11591" customWidth="1" bestFit="1" width="10.0" style="5"/>
    <col min="11592" max="11592" customWidth="1" bestFit="1" width="10.0" style="5"/>
    <col min="11593" max="11593" customWidth="1" bestFit="1" width="10.0" style="5"/>
    <col min="11594" max="11594" customWidth="1" bestFit="1" width="10.0" style="5"/>
    <col min="11595" max="11595" customWidth="1" bestFit="1" width="10.0" style="5"/>
    <col min="11596" max="11596" customWidth="1" bestFit="1" width="10.0" style="5"/>
    <col min="11597" max="11597" customWidth="1" bestFit="1" width="10.0" style="5"/>
    <col min="11598" max="11598" customWidth="1" bestFit="1" width="10.0" style="5"/>
    <col min="11599" max="11599" customWidth="1" bestFit="1" width="10.0" style="5"/>
    <col min="11600" max="11600" customWidth="1" bestFit="1" width="10.0" style="5"/>
    <col min="11601" max="11601" customWidth="1" bestFit="1" width="10.0" style="5"/>
    <col min="11602" max="11602" customWidth="1" bestFit="1" width="10.0" style="5"/>
    <col min="11603" max="11603" customWidth="1" bestFit="1" width="10.0" style="5"/>
    <col min="11604" max="11604" customWidth="1" bestFit="1" width="10.0" style="5"/>
    <col min="11605" max="11605" customWidth="1" bestFit="1" width="10.0" style="5"/>
    <col min="11606" max="11606" customWidth="1" bestFit="1" width="10.0" style="5"/>
    <col min="11607" max="11607" customWidth="1" bestFit="1" width="10.0" style="5"/>
    <col min="11608" max="11608" customWidth="1" bestFit="1" width="10.0" style="5"/>
    <col min="11609" max="11609" customWidth="1" bestFit="1" width="10.0" style="5"/>
    <col min="11610" max="11610" customWidth="1" bestFit="1" width="10.0" style="5"/>
    <col min="11611" max="11611" customWidth="1" bestFit="1" width="10.0" style="5"/>
    <col min="11612" max="11612" customWidth="1" bestFit="1" width="10.0" style="5"/>
    <col min="11613" max="11613" customWidth="1" bestFit="1" width="10.0" style="5"/>
    <col min="11614" max="11614" customWidth="1" bestFit="1" width="10.0" style="5"/>
    <col min="11615" max="11615" customWidth="1" bestFit="1" width="10.0" style="5"/>
    <col min="11616" max="11616" customWidth="1" bestFit="1" width="10.0" style="5"/>
    <col min="11617" max="11617" customWidth="1" bestFit="1" width="10.0" style="5"/>
    <col min="11618" max="11618" customWidth="1" bestFit="1" width="10.0" style="5"/>
    <col min="11619" max="11619" customWidth="1" bestFit="1" width="10.0" style="5"/>
    <col min="11620" max="11620" customWidth="1" bestFit="1" width="10.0" style="5"/>
    <col min="11621" max="11621" customWidth="1" bestFit="1" width="10.0" style="5"/>
    <col min="11622" max="11622" customWidth="1" bestFit="1" width="10.0" style="5"/>
    <col min="11623" max="11623" customWidth="1" bestFit="1" width="10.0" style="5"/>
    <col min="11624" max="11624" customWidth="1" bestFit="1" width="10.0" style="5"/>
    <col min="11625" max="11625" customWidth="1" bestFit="1" width="10.0" style="5"/>
    <col min="11626" max="11626" customWidth="1" bestFit="1" width="10.0" style="5"/>
    <col min="11627" max="11627" customWidth="1" bestFit="1" width="10.0" style="5"/>
    <col min="11628" max="11628" customWidth="1" bestFit="1" width="10.0" style="5"/>
    <col min="11629" max="11629" customWidth="1" bestFit="1" width="10.0" style="5"/>
    <col min="11630" max="11630" customWidth="1" bestFit="1" width="10.0" style="5"/>
    <col min="11631" max="11631" customWidth="1" bestFit="1" width="10.0" style="5"/>
    <col min="11632" max="11632" customWidth="1" bestFit="1" width="10.0" style="5"/>
    <col min="11633" max="11633" customWidth="1" bestFit="1" width="10.0" style="5"/>
    <col min="11634" max="11634" customWidth="1" bestFit="1" width="10.0" style="5"/>
    <col min="11635" max="11635" customWidth="1" bestFit="1" width="10.0" style="5"/>
    <col min="11636" max="11636" customWidth="1" bestFit="1" width="10.0" style="5"/>
    <col min="11637" max="11637" customWidth="1" bestFit="1" width="10.0" style="5"/>
    <col min="11638" max="11638" customWidth="1" bestFit="1" width="10.0" style="5"/>
    <col min="11639" max="11639" customWidth="1" bestFit="1" width="10.0" style="5"/>
    <col min="11640" max="11640" customWidth="1" bestFit="1" width="10.0" style="5"/>
    <col min="11641" max="11641" customWidth="1" bestFit="1" width="10.0" style="5"/>
    <col min="11642" max="11642" customWidth="1" bestFit="1" width="10.0" style="5"/>
    <col min="11643" max="11643" customWidth="1" bestFit="1" width="10.0" style="5"/>
    <col min="11644" max="11644" customWidth="1" bestFit="1" width="10.0" style="5"/>
    <col min="11645" max="11645" customWidth="1" bestFit="1" width="10.0" style="5"/>
    <col min="11646" max="11646" customWidth="1" bestFit="1" width="10.0" style="5"/>
    <col min="11647" max="11647" customWidth="1" bestFit="1" width="10.0" style="5"/>
    <col min="11648" max="11648" customWidth="1" bestFit="1" width="10.0" style="5"/>
    <col min="11649" max="11649" customWidth="1" bestFit="1" width="10.0" style="5"/>
    <col min="11650" max="11650" customWidth="1" bestFit="1" width="10.0" style="5"/>
    <col min="11651" max="11651" customWidth="1" bestFit="1" width="10.0" style="5"/>
    <col min="11652" max="11652" customWidth="1" bestFit="1" width="10.0" style="5"/>
    <col min="11653" max="11653" customWidth="1" bestFit="1" width="10.0" style="5"/>
    <col min="11654" max="11654" customWidth="1" bestFit="1" width="10.0" style="5"/>
    <col min="11655" max="11655" customWidth="1" bestFit="1" width="10.0" style="5"/>
    <col min="11656" max="11656" customWidth="1" bestFit="1" width="10.0" style="5"/>
    <col min="11657" max="11657" customWidth="1" bestFit="1" width="10.0" style="5"/>
    <col min="11658" max="11658" customWidth="1" bestFit="1" width="10.0" style="5"/>
    <col min="11659" max="11659" customWidth="1" bestFit="1" width="10.0" style="5"/>
    <col min="11660" max="11660" customWidth="1" bestFit="1" width="10.0" style="5"/>
    <col min="11661" max="11661" customWidth="1" bestFit="1" width="10.0" style="5"/>
    <col min="11662" max="11662" customWidth="1" bestFit="1" width="10.0" style="5"/>
    <col min="11663" max="11663" customWidth="1" bestFit="1" width="10.0" style="5"/>
    <col min="11664" max="11664" customWidth="1" bestFit="1" width="10.0" style="5"/>
    <col min="11665" max="11665" customWidth="1" bestFit="1" width="10.0" style="5"/>
    <col min="11666" max="11666" customWidth="1" bestFit="1" width="10.0" style="5"/>
    <col min="11667" max="11667" customWidth="1" bestFit="1" width="10.0" style="5"/>
    <col min="11668" max="11668" customWidth="1" bestFit="1" width="10.0" style="5"/>
    <col min="11669" max="11669" customWidth="1" bestFit="1" width="10.0" style="5"/>
    <col min="11670" max="11670" customWidth="1" bestFit="1" width="10.0" style="5"/>
    <col min="11671" max="11671" customWidth="1" bestFit="1" width="10.0" style="5"/>
    <col min="11672" max="11672" customWidth="1" bestFit="1" width="10.0" style="5"/>
    <col min="11673" max="11673" customWidth="1" bestFit="1" width="10.0" style="5"/>
    <col min="11674" max="11674" customWidth="1" bestFit="1" width="10.0" style="5"/>
    <col min="11675" max="11675" customWidth="1" bestFit="1" width="10.0" style="5"/>
    <col min="11676" max="11676" customWidth="1" bestFit="1" width="10.0" style="5"/>
    <col min="11677" max="11677" customWidth="1" bestFit="1" width="10.0" style="5"/>
    <col min="11678" max="11678" customWidth="1" bestFit="1" width="10.0" style="5"/>
    <col min="11679" max="11679" customWidth="1" bestFit="1" width="10.0" style="5"/>
    <col min="11680" max="11680" customWidth="1" bestFit="1" width="10.0" style="5"/>
    <col min="11681" max="11681" customWidth="1" bestFit="1" width="10.0" style="5"/>
    <col min="11682" max="11682" customWidth="1" bestFit="1" width="10.0" style="5"/>
    <col min="11683" max="11683" customWidth="1" bestFit="1" width="10.0" style="5"/>
    <col min="11684" max="11684" customWidth="1" bestFit="1" width="10.0" style="5"/>
    <col min="11685" max="11685" customWidth="1" bestFit="1" width="10.0" style="5"/>
    <col min="11686" max="11686" customWidth="1" bestFit="1" width="10.0" style="5"/>
    <col min="11687" max="11687" customWidth="1" bestFit="1" width="10.0" style="5"/>
    <col min="11688" max="11688" customWidth="1" bestFit="1" width="10.0" style="5"/>
    <col min="11689" max="11689" customWidth="1" bestFit="1" width="10.0" style="5"/>
    <col min="11690" max="11690" customWidth="1" bestFit="1" width="10.0" style="5"/>
    <col min="11691" max="11691" customWidth="1" bestFit="1" width="10.0" style="5"/>
    <col min="11692" max="11692" customWidth="1" bestFit="1" width="10.0" style="5"/>
    <col min="11693" max="11693" customWidth="1" bestFit="1" width="10.0" style="5"/>
    <col min="11694" max="11694" customWidth="1" bestFit="1" width="10.0" style="5"/>
    <col min="11695" max="11695" customWidth="1" bestFit="1" width="10.0" style="5"/>
    <col min="11696" max="11696" customWidth="1" bestFit="1" width="10.0" style="5"/>
    <col min="11697" max="11697" customWidth="1" bestFit="1" width="10.0" style="5"/>
    <col min="11698" max="11698" customWidth="1" bestFit="1" width="10.0" style="5"/>
    <col min="11699" max="11699" customWidth="1" bestFit="1" width="10.0" style="5"/>
    <col min="11700" max="11700" customWidth="1" bestFit="1" width="10.0" style="5"/>
    <col min="11701" max="11701" customWidth="1" bestFit="1" width="10.0" style="5"/>
    <col min="11702" max="11702" customWidth="1" bestFit="1" width="10.0" style="5"/>
    <col min="11703" max="11703" customWidth="1" bestFit="1" width="10.0" style="5"/>
    <col min="11704" max="11704" customWidth="1" bestFit="1" width="10.0" style="5"/>
    <col min="11705" max="11705" customWidth="1" bestFit="1" width="10.0" style="5"/>
    <col min="11706" max="11706" customWidth="1" bestFit="1" width="10.0" style="5"/>
    <col min="11707" max="11707" customWidth="1" bestFit="1" width="10.0" style="5"/>
    <col min="11708" max="11708" customWidth="1" bestFit="1" width="10.0" style="5"/>
    <col min="11709" max="11709" customWidth="1" bestFit="1" width="10.0" style="5"/>
    <col min="11710" max="11710" customWidth="1" bestFit="1" width="10.0" style="5"/>
    <col min="11711" max="11711" customWidth="1" bestFit="1" width="10.0" style="5"/>
    <col min="11712" max="11712" customWidth="1" bestFit="1" width="10.0" style="5"/>
    <col min="11713" max="11713" customWidth="1" bestFit="1" width="10.0" style="5"/>
    <col min="11714" max="11714" customWidth="1" bestFit="1" width="10.0" style="5"/>
    <col min="11715" max="11715" customWidth="1" bestFit="1" width="10.0" style="5"/>
    <col min="11716" max="11716" customWidth="1" bestFit="1" width="10.0" style="5"/>
    <col min="11717" max="11717" customWidth="1" bestFit="1" width="10.0" style="5"/>
    <col min="11718" max="11718" customWidth="1" bestFit="1" width="10.0" style="5"/>
    <col min="11719" max="11719" customWidth="1" bestFit="1" width="10.0" style="5"/>
    <col min="11720" max="11720" customWidth="1" bestFit="1" width="10.0" style="5"/>
    <col min="11721" max="11721" customWidth="1" bestFit="1" width="10.0" style="5"/>
    <col min="11722" max="11722" customWidth="1" bestFit="1" width="10.0" style="5"/>
    <col min="11723" max="11723" customWidth="1" bestFit="1" width="10.0" style="5"/>
    <col min="11724" max="11724" customWidth="1" bestFit="1" width="10.0" style="5"/>
    <col min="11725" max="11725" customWidth="1" bestFit="1" width="10.0" style="5"/>
    <col min="11726" max="11726" customWidth="1" bestFit="1" width="10.0" style="5"/>
    <col min="11727" max="11727" customWidth="1" bestFit="1" width="10.0" style="5"/>
    <col min="11728" max="11728" customWidth="1" bestFit="1" width="10.0" style="5"/>
    <col min="11729" max="11729" customWidth="1" bestFit="1" width="10.0" style="5"/>
    <col min="11730" max="11730" customWidth="1" bestFit="1" width="10.0" style="5"/>
    <col min="11731" max="11731" customWidth="1" bestFit="1" width="10.0" style="5"/>
    <col min="11732" max="11732" customWidth="1" bestFit="1" width="10.0" style="5"/>
    <col min="11733" max="11733" customWidth="1" bestFit="1" width="10.0" style="5"/>
    <col min="11734" max="11734" customWidth="1" bestFit="1" width="10.0" style="5"/>
    <col min="11735" max="11735" customWidth="1" bestFit="1" width="10.0" style="5"/>
    <col min="11736" max="11736" customWidth="1" bestFit="1" width="10.0" style="5"/>
    <col min="11737" max="11737" customWidth="1" bestFit="1" width="10.0" style="5"/>
    <col min="11738" max="11738" customWidth="1" bestFit="1" width="10.0" style="5"/>
    <col min="11739" max="11739" customWidth="1" bestFit="1" width="10.0" style="5"/>
    <col min="11740" max="11740" customWidth="1" bestFit="1" width="10.0" style="5"/>
    <col min="11741" max="11741" customWidth="1" bestFit="1" width="10.0" style="5"/>
    <col min="11742" max="11742" customWidth="1" bestFit="1" width="10.0" style="5"/>
    <col min="11743" max="11743" customWidth="1" bestFit="1" width="10.0" style="5"/>
    <col min="11744" max="11744" customWidth="1" bestFit="1" width="10.0" style="5"/>
    <col min="11745" max="11745" customWidth="1" bestFit="1" width="10.0" style="5"/>
    <col min="11746" max="11746" customWidth="1" bestFit="1" width="10.0" style="5"/>
    <col min="11747" max="11747" customWidth="1" bestFit="1" width="10.0" style="5"/>
    <col min="11748" max="11748" customWidth="1" bestFit="1" width="10.0" style="5"/>
    <col min="11749" max="11749" customWidth="1" bestFit="1" width="10.0" style="5"/>
    <col min="11750" max="11750" customWidth="1" bestFit="1" width="10.0" style="5"/>
    <col min="11751" max="11751" customWidth="1" bestFit="1" width="10.0" style="5"/>
    <col min="11752" max="11752" customWidth="1" bestFit="1" width="10.0" style="5"/>
    <col min="11753" max="11753" customWidth="1" bestFit="1" width="10.0" style="5"/>
    <col min="11754" max="11754" customWidth="1" bestFit="1" width="10.0" style="5"/>
    <col min="11755" max="11755" customWidth="1" bestFit="1" width="10.0" style="5"/>
    <col min="11756" max="11756" customWidth="1" bestFit="1" width="10.0" style="5"/>
    <col min="11757" max="11757" customWidth="1" bestFit="1" width="10.0" style="5"/>
    <col min="11758" max="11758" customWidth="1" bestFit="1" width="10.0" style="5"/>
    <col min="11759" max="11759" customWidth="1" bestFit="1" width="10.0" style="5"/>
    <col min="11760" max="11760" customWidth="1" bestFit="1" width="10.0" style="5"/>
    <col min="11761" max="11761" customWidth="1" bestFit="1" width="10.0" style="5"/>
    <col min="11762" max="11762" customWidth="1" bestFit="1" width="10.0" style="5"/>
    <col min="11763" max="11763" customWidth="1" bestFit="1" width="10.0" style="5"/>
    <col min="11764" max="11764" customWidth="1" bestFit="1" width="10.0" style="5"/>
    <col min="11765" max="11765" customWidth="1" bestFit="1" width="10.0" style="5"/>
    <col min="11766" max="11766" customWidth="1" bestFit="1" width="10.0" style="5"/>
    <col min="11767" max="11767" customWidth="1" bestFit="1" width="10.0" style="5"/>
    <col min="11768" max="11768" customWidth="1" bestFit="1" width="10.0" style="5"/>
    <col min="11769" max="11769" customWidth="1" bestFit="1" width="10.0" style="5"/>
    <col min="11770" max="11770" customWidth="1" bestFit="1" width="10.0" style="5"/>
    <col min="11771" max="11771" customWidth="1" bestFit="1" width="10.0" style="5"/>
    <col min="11772" max="11772" customWidth="1" bestFit="1" width="10.0" style="5"/>
    <col min="11773" max="11773" customWidth="1" bestFit="1" width="10.0" style="5"/>
    <col min="11774" max="11774" customWidth="1" bestFit="1" width="10.0" style="5"/>
    <col min="11775" max="11775" customWidth="1" bestFit="1" width="10.0" style="5"/>
    <col min="11776" max="11776" customWidth="1" bestFit="1" width="10.0" style="5"/>
    <col min="11777" max="11777" customWidth="1" bestFit="1" width="10.0" style="5"/>
    <col min="11778" max="11778" customWidth="1" bestFit="1" width="10.0" style="5"/>
    <col min="11779" max="11779" customWidth="1" bestFit="1" width="10.0" style="5"/>
    <col min="11780" max="11780" customWidth="1" bestFit="1" width="10.0" style="5"/>
    <col min="11781" max="11781" customWidth="1" bestFit="1" width="10.0" style="5"/>
    <col min="11782" max="11782" customWidth="1" bestFit="1" width="10.0" style="5"/>
    <col min="11783" max="11783" customWidth="1" bestFit="1" width="10.0" style="5"/>
    <col min="11784" max="11784" customWidth="1" bestFit="1" width="10.0" style="5"/>
    <col min="11785" max="11785" customWidth="1" bestFit="1" width="10.0" style="5"/>
    <col min="11786" max="11786" customWidth="1" bestFit="1" width="10.0" style="5"/>
    <col min="11787" max="11787" customWidth="1" bestFit="1" width="10.0" style="5"/>
    <col min="11788" max="11788" customWidth="1" bestFit="1" width="10.0" style="5"/>
    <col min="11789" max="11789" customWidth="1" bestFit="1" width="10.0" style="5"/>
    <col min="11790" max="11790" customWidth="1" bestFit="1" width="10.0" style="5"/>
    <col min="11791" max="11791" customWidth="1" bestFit="1" width="10.0" style="5"/>
    <col min="11792" max="11792" customWidth="1" bestFit="1" width="10.0" style="5"/>
    <col min="11793" max="11793" customWidth="1" bestFit="1" width="10.0" style="5"/>
    <col min="11794" max="11794" customWidth="1" bestFit="1" width="10.0" style="5"/>
    <col min="11795" max="11795" customWidth="1" bestFit="1" width="10.0" style="5"/>
    <col min="11796" max="11796" customWidth="1" bestFit="1" width="10.0" style="5"/>
    <col min="11797" max="11797" customWidth="1" bestFit="1" width="10.0" style="5"/>
    <col min="11798" max="11798" customWidth="1" bestFit="1" width="10.0" style="5"/>
    <col min="11799" max="11799" customWidth="1" bestFit="1" width="10.0" style="5"/>
    <col min="11800" max="11800" customWidth="1" bestFit="1" width="10.0" style="5"/>
    <col min="11801" max="11801" customWidth="1" bestFit="1" width="10.0" style="5"/>
    <col min="11802" max="11802" customWidth="1" bestFit="1" width="10.0" style="5"/>
    <col min="11803" max="11803" customWidth="1" bestFit="1" width="10.0" style="5"/>
    <col min="11804" max="11804" customWidth="1" bestFit="1" width="10.0" style="5"/>
    <col min="11805" max="11805" customWidth="1" bestFit="1" width="10.0" style="5"/>
    <col min="11806" max="11806" customWidth="1" bestFit="1" width="10.0" style="5"/>
    <col min="11807" max="11807" customWidth="1" bestFit="1" width="10.0" style="5"/>
    <col min="11808" max="11808" customWidth="1" bestFit="1" width="10.0" style="5"/>
    <col min="11809" max="11809" customWidth="1" bestFit="1" width="10.0" style="5"/>
    <col min="11810" max="11810" customWidth="1" bestFit="1" width="10.0" style="5"/>
    <col min="11811" max="11811" customWidth="1" bestFit="1" width="10.0" style="5"/>
    <col min="11812" max="11812" customWidth="1" bestFit="1" width="10.0" style="5"/>
    <col min="11813" max="11813" customWidth="1" bestFit="1" width="10.0" style="5"/>
    <col min="11814" max="11814" customWidth="1" bestFit="1" width="10.0" style="5"/>
    <col min="11815" max="11815" customWidth="1" bestFit="1" width="10.0" style="5"/>
    <col min="11816" max="11816" customWidth="1" bestFit="1" width="10.0" style="5"/>
    <col min="11817" max="11817" customWidth="1" bestFit="1" width="10.0" style="5"/>
    <col min="11818" max="11818" customWidth="1" bestFit="1" width="10.0" style="5"/>
    <col min="11819" max="11819" customWidth="1" bestFit="1" width="10.0" style="5"/>
    <col min="11820" max="11820" customWidth="1" bestFit="1" width="10.0" style="5"/>
    <col min="11821" max="11821" customWidth="1" bestFit="1" width="10.0" style="5"/>
    <col min="11822" max="11822" customWidth="1" bestFit="1" width="10.0" style="5"/>
    <col min="11823" max="11823" customWidth="1" bestFit="1" width="10.0" style="5"/>
    <col min="11824" max="11824" customWidth="1" bestFit="1" width="10.0" style="5"/>
    <col min="11825" max="11825" customWidth="1" bestFit="1" width="10.0" style="5"/>
    <col min="11826" max="11826" customWidth="1" bestFit="1" width="10.0" style="5"/>
    <col min="11827" max="11827" customWidth="1" bestFit="1" width="10.0" style="5"/>
    <col min="11828" max="11828" customWidth="1" bestFit="1" width="10.0" style="5"/>
    <col min="11829" max="11829" customWidth="1" bestFit="1" width="10.0" style="5"/>
    <col min="11830" max="11830" customWidth="1" bestFit="1" width="10.0" style="5"/>
    <col min="11831" max="11831" customWidth="1" bestFit="1" width="10.0" style="5"/>
    <col min="11832" max="11832" customWidth="1" bestFit="1" width="10.0" style="5"/>
    <col min="11833" max="11833" customWidth="1" bestFit="1" width="10.0" style="5"/>
    <col min="11834" max="11834" customWidth="1" bestFit="1" width="10.0" style="5"/>
    <col min="11835" max="11835" customWidth="1" bestFit="1" width="10.0" style="5"/>
    <col min="11836" max="11836" customWidth="1" bestFit="1" width="10.0" style="5"/>
    <col min="11837" max="11837" customWidth="1" bestFit="1" width="10.0" style="5"/>
    <col min="11838" max="11838" customWidth="1" bestFit="1" width="10.0" style="5"/>
    <col min="11839" max="11839" customWidth="1" bestFit="1" width="10.0" style="5"/>
    <col min="11840" max="11840" customWidth="1" bestFit="1" width="10.0" style="5"/>
    <col min="11841" max="11841" customWidth="1" bestFit="1" width="10.0" style="5"/>
    <col min="11842" max="11842" customWidth="1" bestFit="1" width="10.0" style="5"/>
    <col min="11843" max="11843" customWidth="1" bestFit="1" width="10.0" style="5"/>
    <col min="11844" max="11844" customWidth="1" bestFit="1" width="10.0" style="5"/>
    <col min="11845" max="11845" customWidth="1" bestFit="1" width="10.0" style="5"/>
    <col min="11846" max="11846" customWidth="1" bestFit="1" width="10.0" style="5"/>
    <col min="11847" max="11847" customWidth="1" bestFit="1" width="10.0" style="5"/>
    <col min="11848" max="11848" customWidth="1" bestFit="1" width="10.0" style="5"/>
    <col min="11849" max="11849" customWidth="1" bestFit="1" width="10.0" style="5"/>
    <col min="11850" max="11850" customWidth="1" bestFit="1" width="10.0" style="5"/>
    <col min="11851" max="11851" customWidth="1" bestFit="1" width="10.0" style="5"/>
    <col min="11852" max="11852" customWidth="1" bestFit="1" width="10.0" style="5"/>
    <col min="11853" max="11853" customWidth="1" bestFit="1" width="10.0" style="5"/>
    <col min="11854" max="11854" customWidth="1" bestFit="1" width="10.0" style="5"/>
    <col min="11855" max="11855" customWidth="1" bestFit="1" width="10.0" style="5"/>
    <col min="11856" max="11856" customWidth="1" bestFit="1" width="10.0" style="5"/>
    <col min="11857" max="11857" customWidth="1" bestFit="1" width="10.0" style="5"/>
    <col min="11858" max="11858" customWidth="1" bestFit="1" width="10.0" style="5"/>
    <col min="11859" max="11859" customWidth="1" bestFit="1" width="10.0" style="5"/>
    <col min="11860" max="11860" customWidth="1" bestFit="1" width="10.0" style="5"/>
    <col min="11861" max="11861" customWidth="1" bestFit="1" width="10.0" style="5"/>
    <col min="11862" max="11862" customWidth="1" bestFit="1" width="10.0" style="5"/>
    <col min="11863" max="11863" customWidth="1" bestFit="1" width="10.0" style="5"/>
    <col min="11864" max="11864" customWidth="1" bestFit="1" width="10.0" style="5"/>
    <col min="11865" max="11865" customWidth="1" bestFit="1" width="10.0" style="5"/>
    <col min="11866" max="11866" customWidth="1" bestFit="1" width="10.0" style="5"/>
    <col min="11867" max="11867" customWidth="1" bestFit="1" width="10.0" style="5"/>
    <col min="11868" max="11868" customWidth="1" bestFit="1" width="10.0" style="5"/>
    <col min="11869" max="11869" customWidth="1" bestFit="1" width="10.0" style="5"/>
    <col min="11870" max="11870" customWidth="1" bestFit="1" width="10.0" style="5"/>
    <col min="11871" max="11871" customWidth="1" bestFit="1" width="10.0" style="5"/>
    <col min="11872" max="11872" customWidth="1" bestFit="1" width="10.0" style="5"/>
    <col min="11873" max="11873" customWidth="1" bestFit="1" width="10.0" style="5"/>
    <col min="11874" max="11874" customWidth="1" bestFit="1" width="10.0" style="5"/>
    <col min="11875" max="11875" customWidth="1" bestFit="1" width="10.0" style="5"/>
    <col min="11876" max="11876" customWidth="1" bestFit="1" width="10.0" style="5"/>
    <col min="11877" max="11877" customWidth="1" bestFit="1" width="10.0" style="5"/>
    <col min="11878" max="11878" customWidth="1" bestFit="1" width="10.0" style="5"/>
    <col min="11879" max="11879" customWidth="1" bestFit="1" width="10.0" style="5"/>
    <col min="11880" max="11880" customWidth="1" bestFit="1" width="10.0" style="5"/>
    <col min="11881" max="11881" customWidth="1" bestFit="1" width="10.0" style="5"/>
    <col min="11882" max="11882" customWidth="1" bestFit="1" width="10.0" style="5"/>
    <col min="11883" max="11883" customWidth="1" bestFit="1" width="10.0" style="5"/>
    <col min="11884" max="11884" customWidth="1" bestFit="1" width="10.0" style="5"/>
    <col min="11885" max="11885" customWidth="1" bestFit="1" width="10.0" style="5"/>
    <col min="11886" max="11886" customWidth="1" bestFit="1" width="10.0" style="5"/>
    <col min="11887" max="11887" customWidth="1" bestFit="1" width="10.0" style="5"/>
    <col min="11888" max="11888" customWidth="1" bestFit="1" width="10.0" style="5"/>
    <col min="11889" max="11889" customWidth="1" bestFit="1" width="10.0" style="5"/>
    <col min="11890" max="11890" customWidth="1" bestFit="1" width="10.0" style="5"/>
    <col min="11891" max="11891" customWidth="1" bestFit="1" width="10.0" style="5"/>
    <col min="11892" max="11892" customWidth="1" bestFit="1" width="10.0" style="5"/>
    <col min="11893" max="11893" customWidth="1" bestFit="1" width="10.0" style="5"/>
    <col min="11894" max="11894" customWidth="1" bestFit="1" width="10.0" style="5"/>
    <col min="11895" max="11895" customWidth="1" bestFit="1" width="10.0" style="5"/>
    <col min="11896" max="11896" customWidth="1" bestFit="1" width="10.0" style="5"/>
    <col min="11897" max="11897" customWidth="1" bestFit="1" width="10.0" style="5"/>
    <col min="11898" max="11898" customWidth="1" bestFit="1" width="10.0" style="5"/>
    <col min="11899" max="11899" customWidth="1" bestFit="1" width="10.0" style="5"/>
    <col min="11900" max="11900" customWidth="1" bestFit="1" width="10.0" style="5"/>
    <col min="11901" max="11901" customWidth="1" bestFit="1" width="10.0" style="5"/>
    <col min="11902" max="11902" customWidth="1" bestFit="1" width="10.0" style="5"/>
    <col min="11903" max="11903" customWidth="1" bestFit="1" width="10.0" style="5"/>
    <col min="11904" max="11904" customWidth="1" bestFit="1" width="10.0" style="5"/>
    <col min="11905" max="11905" customWidth="1" bestFit="1" width="10.0" style="5"/>
    <col min="11906" max="11906" customWidth="1" bestFit="1" width="10.0" style="5"/>
    <col min="11907" max="11907" customWidth="1" bestFit="1" width="10.0" style="5"/>
    <col min="11908" max="11908" customWidth="1" bestFit="1" width="10.0" style="5"/>
    <col min="11909" max="11909" customWidth="1" bestFit="1" width="10.0" style="5"/>
    <col min="11910" max="11910" customWidth="1" bestFit="1" width="10.0" style="5"/>
    <col min="11911" max="11911" customWidth="1" bestFit="1" width="10.0" style="5"/>
    <col min="11912" max="11912" customWidth="1" bestFit="1" width="10.0" style="5"/>
    <col min="11913" max="11913" customWidth="1" bestFit="1" width="10.0" style="5"/>
    <col min="11914" max="11914" customWidth="1" bestFit="1" width="10.0" style="5"/>
    <col min="11915" max="11915" customWidth="1" bestFit="1" width="10.0" style="5"/>
    <col min="11916" max="11916" customWidth="1" bestFit="1" width="10.0" style="5"/>
    <col min="11917" max="11917" customWidth="1" bestFit="1" width="10.0" style="5"/>
    <col min="11918" max="11918" customWidth="1" bestFit="1" width="10.0" style="5"/>
    <col min="11919" max="11919" customWidth="1" bestFit="1" width="10.0" style="5"/>
    <col min="11920" max="11920" customWidth="1" bestFit="1" width="10.0" style="5"/>
    <col min="11921" max="11921" customWidth="1" bestFit="1" width="10.0" style="5"/>
    <col min="11922" max="11922" customWidth="1" bestFit="1" width="10.0" style="5"/>
    <col min="11923" max="11923" customWidth="1" bestFit="1" width="10.0" style="5"/>
    <col min="11924" max="11924" customWidth="1" bestFit="1" width="10.0" style="5"/>
    <col min="11925" max="11925" customWidth="1" bestFit="1" width="10.0" style="5"/>
    <col min="11926" max="11926" customWidth="1" bestFit="1" width="10.0" style="5"/>
    <col min="11927" max="11927" customWidth="1" bestFit="1" width="10.0" style="5"/>
    <col min="11928" max="11928" customWidth="1" bestFit="1" width="10.0" style="5"/>
    <col min="11929" max="11929" customWidth="1" bestFit="1" width="10.0" style="5"/>
    <col min="11930" max="11930" customWidth="1" bestFit="1" width="10.0" style="5"/>
    <col min="11931" max="11931" customWidth="1" bestFit="1" width="10.0" style="5"/>
    <col min="11932" max="11932" customWidth="1" bestFit="1" width="10.0" style="5"/>
    <col min="11933" max="11933" customWidth="1" bestFit="1" width="10.0" style="5"/>
    <col min="11934" max="11934" customWidth="1" bestFit="1" width="10.0" style="5"/>
    <col min="11935" max="11935" customWidth="1" bestFit="1" width="10.0" style="5"/>
    <col min="11936" max="11936" customWidth="1" bestFit="1" width="10.0" style="5"/>
    <col min="11937" max="11937" customWidth="1" bestFit="1" width="10.0" style="5"/>
    <col min="11938" max="11938" customWidth="1" bestFit="1" width="10.0" style="5"/>
    <col min="11939" max="11939" customWidth="1" bestFit="1" width="10.0" style="5"/>
    <col min="11940" max="11940" customWidth="1" bestFit="1" width="10.0" style="5"/>
    <col min="11941" max="11941" customWidth="1" bestFit="1" width="10.0" style="5"/>
    <col min="11942" max="11942" customWidth="1" bestFit="1" width="10.0" style="5"/>
    <col min="11943" max="11943" customWidth="1" bestFit="1" width="10.0" style="5"/>
    <col min="11944" max="11944" customWidth="1" bestFit="1" width="10.0" style="5"/>
    <col min="11945" max="11945" customWidth="1" bestFit="1" width="10.0" style="5"/>
    <col min="11946" max="11946" customWidth="1" bestFit="1" width="10.0" style="5"/>
    <col min="11947" max="11947" customWidth="1" bestFit="1" width="10.0" style="5"/>
    <col min="11948" max="11948" customWidth="1" bestFit="1" width="10.0" style="5"/>
    <col min="11949" max="11949" customWidth="1" bestFit="1" width="10.0" style="5"/>
    <col min="11950" max="11950" customWidth="1" bestFit="1" width="10.0" style="5"/>
    <col min="11951" max="11951" customWidth="1" bestFit="1" width="10.0" style="5"/>
    <col min="11952" max="11952" customWidth="1" bestFit="1" width="10.0" style="5"/>
    <col min="11953" max="11953" customWidth="1" bestFit="1" width="10.0" style="5"/>
    <col min="11954" max="11954" customWidth="1" bestFit="1" width="10.0" style="5"/>
    <col min="11955" max="11955" customWidth="1" bestFit="1" width="10.0" style="5"/>
    <col min="11956" max="11956" customWidth="1" bestFit="1" width="10.0" style="5"/>
    <col min="11957" max="11957" customWidth="1" bestFit="1" width="10.0" style="5"/>
    <col min="11958" max="11958" customWidth="1" bestFit="1" width="10.0" style="5"/>
    <col min="11959" max="11959" customWidth="1" bestFit="1" width="10.0" style="5"/>
    <col min="11960" max="11960" customWidth="1" bestFit="1" width="10.0" style="5"/>
    <col min="11961" max="11961" customWidth="1" bestFit="1" width="10.0" style="5"/>
    <col min="11962" max="11962" customWidth="1" bestFit="1" width="10.0" style="5"/>
    <col min="11963" max="11963" customWidth="1" bestFit="1" width="10.0" style="5"/>
    <col min="11964" max="11964" customWidth="1" bestFit="1" width="10.0" style="5"/>
    <col min="11965" max="11965" customWidth="1" bestFit="1" width="10.0" style="5"/>
    <col min="11966" max="11966" customWidth="1" bestFit="1" width="10.0" style="5"/>
    <col min="11967" max="11967" customWidth="1" bestFit="1" width="10.0" style="5"/>
    <col min="11968" max="11968" customWidth="1" bestFit="1" width="10.0" style="5"/>
    <col min="11969" max="11969" customWidth="1" bestFit="1" width="10.0" style="5"/>
    <col min="11970" max="11970" customWidth="1" bestFit="1" width="10.0" style="5"/>
    <col min="11971" max="11971" customWidth="1" bestFit="1" width="10.0" style="5"/>
    <col min="11972" max="11972" customWidth="1" bestFit="1" width="10.0" style="5"/>
    <col min="11973" max="11973" customWidth="1" bestFit="1" width="10.0" style="5"/>
    <col min="11974" max="11974" customWidth="1" bestFit="1" width="10.0" style="5"/>
    <col min="11975" max="11975" customWidth="1" bestFit="1" width="10.0" style="5"/>
    <col min="11976" max="11976" customWidth="1" bestFit="1" width="10.0" style="5"/>
    <col min="11977" max="11977" customWidth="1" bestFit="1" width="10.0" style="5"/>
    <col min="11978" max="11978" customWidth="1" bestFit="1" width="10.0" style="5"/>
    <col min="11979" max="11979" customWidth="1" bestFit="1" width="10.0" style="5"/>
    <col min="11980" max="11980" customWidth="1" bestFit="1" width="10.0" style="5"/>
    <col min="11981" max="11981" customWidth="1" bestFit="1" width="10.0" style="5"/>
    <col min="11982" max="11982" customWidth="1" bestFit="1" width="10.0" style="5"/>
    <col min="11983" max="11983" customWidth="1" bestFit="1" width="10.0" style="5"/>
    <col min="11984" max="11984" customWidth="1" bestFit="1" width="10.0" style="5"/>
    <col min="11985" max="11985" customWidth="1" bestFit="1" width="10.0" style="5"/>
    <col min="11986" max="11986" customWidth="1" bestFit="1" width="10.0" style="5"/>
    <col min="11987" max="11987" customWidth="1" bestFit="1" width="10.0" style="5"/>
    <col min="11988" max="11988" customWidth="1" bestFit="1" width="10.0" style="5"/>
    <col min="11989" max="11989" customWidth="1" bestFit="1" width="10.0" style="5"/>
    <col min="11990" max="11990" customWidth="1" bestFit="1" width="10.0" style="5"/>
    <col min="11991" max="11991" customWidth="1" bestFit="1" width="10.0" style="5"/>
    <col min="11992" max="11992" customWidth="1" bestFit="1" width="10.0" style="5"/>
    <col min="11993" max="11993" customWidth="1" bestFit="1" width="10.0" style="5"/>
    <col min="11994" max="11994" customWidth="1" bestFit="1" width="10.0" style="5"/>
    <col min="11995" max="11995" customWidth="1" bestFit="1" width="10.0" style="5"/>
    <col min="11996" max="11996" customWidth="1" bestFit="1" width="10.0" style="5"/>
    <col min="11997" max="11997" customWidth="1" bestFit="1" width="10.0" style="5"/>
    <col min="11998" max="11998" customWidth="1" bestFit="1" width="10.0" style="5"/>
    <col min="11999" max="11999" customWidth="1" bestFit="1" width="10.0" style="5"/>
    <col min="12000" max="12000" customWidth="1" bestFit="1" width="10.0" style="5"/>
    <col min="12001" max="12001" customWidth="1" bestFit="1" width="10.0" style="5"/>
    <col min="12002" max="12002" customWidth="1" bestFit="1" width="10.0" style="5"/>
    <col min="12003" max="12003" customWidth="1" bestFit="1" width="10.0" style="5"/>
    <col min="12004" max="12004" customWidth="1" bestFit="1" width="10.0" style="5"/>
    <col min="12005" max="12005" customWidth="1" bestFit="1" width="10.0" style="5"/>
    <col min="12006" max="12006" customWidth="1" bestFit="1" width="10.0" style="5"/>
    <col min="12007" max="12007" customWidth="1" bestFit="1" width="10.0" style="5"/>
    <col min="12008" max="12008" customWidth="1" bestFit="1" width="10.0" style="5"/>
    <col min="12009" max="12009" customWidth="1" bestFit="1" width="10.0" style="5"/>
    <col min="12010" max="12010" customWidth="1" bestFit="1" width="10.0" style="5"/>
    <col min="12011" max="12011" customWidth="1" bestFit="1" width="10.0" style="5"/>
    <col min="12012" max="12012" customWidth="1" bestFit="1" width="10.0" style="5"/>
    <col min="12013" max="12013" customWidth="1" bestFit="1" width="10.0" style="5"/>
    <col min="12014" max="12014" customWidth="1" bestFit="1" width="10.0" style="5"/>
    <col min="12015" max="12015" customWidth="1" bestFit="1" width="10.0" style="5"/>
    <col min="12016" max="12016" customWidth="1" bestFit="1" width="10.0" style="5"/>
    <col min="12017" max="12017" customWidth="1" bestFit="1" width="10.0" style="5"/>
    <col min="12018" max="12018" customWidth="1" bestFit="1" width="10.0" style="5"/>
    <col min="12019" max="12019" customWidth="1" bestFit="1" width="10.0" style="5"/>
    <col min="12020" max="12020" customWidth="1" bestFit="1" width="10.0" style="5"/>
    <col min="12021" max="12021" customWidth="1" bestFit="1" width="10.0" style="5"/>
    <col min="12022" max="12022" customWidth="1" bestFit="1" width="10.0" style="5"/>
    <col min="12023" max="12023" customWidth="1" bestFit="1" width="10.0" style="5"/>
    <col min="12024" max="12024" customWidth="1" bestFit="1" width="10.0" style="5"/>
    <col min="12025" max="12025" customWidth="1" bestFit="1" width="10.0" style="5"/>
    <col min="12026" max="12026" customWidth="1" bestFit="1" width="10.0" style="5"/>
    <col min="12027" max="12027" customWidth="1" bestFit="1" width="10.0" style="5"/>
    <col min="12028" max="12028" customWidth="1" bestFit="1" width="10.0" style="5"/>
    <col min="12029" max="12029" customWidth="1" bestFit="1" width="10.0" style="5"/>
    <col min="12030" max="12030" customWidth="1" bestFit="1" width="10.0" style="5"/>
    <col min="12031" max="12031" customWidth="1" bestFit="1" width="10.0" style="5"/>
    <col min="12032" max="12032" customWidth="1" bestFit="1" width="10.0" style="5"/>
    <col min="12033" max="12033" customWidth="1" bestFit="1" width="10.0" style="5"/>
    <col min="12034" max="12034" customWidth="1" bestFit="1" width="10.0" style="5"/>
    <col min="12035" max="12035" customWidth="1" bestFit="1" width="10.0" style="5"/>
    <col min="12036" max="12036" customWidth="1" bestFit="1" width="10.0" style="5"/>
    <col min="12037" max="12037" customWidth="1" bestFit="1" width="10.0" style="5"/>
    <col min="12038" max="12038" customWidth="1" bestFit="1" width="10.0" style="5"/>
    <col min="12039" max="12039" customWidth="1" bestFit="1" width="10.0" style="5"/>
    <col min="12040" max="12040" customWidth="1" bestFit="1" width="10.0" style="5"/>
    <col min="12041" max="12041" customWidth="1" bestFit="1" width="10.0" style="5"/>
    <col min="12042" max="12042" customWidth="1" bestFit="1" width="10.0" style="5"/>
    <col min="12043" max="12043" customWidth="1" bestFit="1" width="10.0" style="5"/>
    <col min="12044" max="12044" customWidth="1" bestFit="1" width="10.0" style="5"/>
    <col min="12045" max="12045" customWidth="1" bestFit="1" width="10.0" style="5"/>
    <col min="12046" max="12046" customWidth="1" bestFit="1" width="10.0" style="5"/>
    <col min="12047" max="12047" customWidth="1" bestFit="1" width="10.0" style="5"/>
    <col min="12048" max="12048" customWidth="1" bestFit="1" width="10.0" style="5"/>
    <col min="12049" max="12049" customWidth="1" bestFit="1" width="10.0" style="5"/>
    <col min="12050" max="12050" customWidth="1" bestFit="1" width="10.0" style="5"/>
    <col min="12051" max="12051" customWidth="1" bestFit="1" width="10.0" style="5"/>
    <col min="12052" max="12052" customWidth="1" bestFit="1" width="10.0" style="5"/>
    <col min="12053" max="12053" customWidth="1" bestFit="1" width="10.0" style="5"/>
    <col min="12054" max="12054" customWidth="1" bestFit="1" width="10.0" style="5"/>
    <col min="12055" max="12055" customWidth="1" bestFit="1" width="10.0" style="5"/>
    <col min="12056" max="12056" customWidth="1" bestFit="1" width="10.0" style="5"/>
    <col min="12057" max="12057" customWidth="1" bestFit="1" width="10.0" style="5"/>
    <col min="12058" max="12058" customWidth="1" bestFit="1" width="10.0" style="5"/>
    <col min="12059" max="12059" customWidth="1" bestFit="1" width="10.0" style="5"/>
    <col min="12060" max="12060" customWidth="1" bestFit="1" width="10.0" style="5"/>
    <col min="12061" max="12061" customWidth="1" bestFit="1" width="10.0" style="5"/>
    <col min="12062" max="12062" customWidth="1" bestFit="1" width="10.0" style="5"/>
    <col min="12063" max="12063" customWidth="1" bestFit="1" width="10.0" style="5"/>
    <col min="12064" max="12064" customWidth="1" bestFit="1" width="10.0" style="5"/>
    <col min="12065" max="12065" customWidth="1" bestFit="1" width="10.0" style="5"/>
    <col min="12066" max="12066" customWidth="1" bestFit="1" width="10.0" style="5"/>
    <col min="12067" max="12067" customWidth="1" bestFit="1" width="10.0" style="5"/>
    <col min="12068" max="12068" customWidth="1" bestFit="1" width="10.0" style="5"/>
    <col min="12069" max="12069" customWidth="1" bestFit="1" width="10.0" style="5"/>
    <col min="12070" max="12070" customWidth="1" bestFit="1" width="10.0" style="5"/>
    <col min="12071" max="12071" customWidth="1" bestFit="1" width="10.0" style="5"/>
    <col min="12072" max="12072" customWidth="1" bestFit="1" width="10.0" style="5"/>
    <col min="12073" max="12073" customWidth="1" bestFit="1" width="10.0" style="5"/>
    <col min="12074" max="12074" customWidth="1" bestFit="1" width="10.0" style="5"/>
    <col min="12075" max="12075" customWidth="1" bestFit="1" width="10.0" style="5"/>
    <col min="12076" max="12076" customWidth="1" bestFit="1" width="10.0" style="5"/>
    <col min="12077" max="12077" customWidth="1" bestFit="1" width="10.0" style="5"/>
    <col min="12078" max="12078" customWidth="1" bestFit="1" width="10.0" style="5"/>
    <col min="12079" max="12079" customWidth="1" bestFit="1" width="10.0" style="5"/>
    <col min="12080" max="12080" customWidth="1" bestFit="1" width="10.0" style="5"/>
    <col min="12081" max="12081" customWidth="1" bestFit="1" width="10.0" style="5"/>
    <col min="12082" max="12082" customWidth="1" bestFit="1" width="10.0" style="5"/>
    <col min="12083" max="12083" customWidth="1" bestFit="1" width="10.0" style="5"/>
    <col min="12084" max="12084" customWidth="1" bestFit="1" width="10.0" style="5"/>
    <col min="12085" max="12085" customWidth="1" bestFit="1" width="10.0" style="5"/>
    <col min="12086" max="12086" customWidth="1" bestFit="1" width="10.0" style="5"/>
    <col min="12087" max="12087" customWidth="1" bestFit="1" width="10.0" style="5"/>
    <col min="12088" max="12088" customWidth="1" bestFit="1" width="10.0" style="5"/>
    <col min="12089" max="12089" customWidth="1" bestFit="1" width="10.0" style="5"/>
    <col min="12090" max="12090" customWidth="1" bestFit="1" width="10.0" style="5"/>
    <col min="12091" max="12091" customWidth="1" bestFit="1" width="10.0" style="5"/>
    <col min="12092" max="12092" customWidth="1" bestFit="1" width="10.0" style="5"/>
    <col min="12093" max="12093" customWidth="1" bestFit="1" width="10.0" style="5"/>
    <col min="12094" max="12094" customWidth="1" bestFit="1" width="10.0" style="5"/>
    <col min="12095" max="12095" customWidth="1" bestFit="1" width="10.0" style="5"/>
    <col min="12096" max="12096" customWidth="1" bestFit="1" width="10.0" style="5"/>
    <col min="12097" max="12097" customWidth="1" bestFit="1" width="10.0" style="5"/>
    <col min="12098" max="12098" customWidth="1" bestFit="1" width="10.0" style="5"/>
    <col min="12099" max="12099" customWidth="1" bestFit="1" width="10.0" style="5"/>
    <col min="12100" max="12100" customWidth="1" bestFit="1" width="10.0" style="5"/>
    <col min="12101" max="12101" customWidth="1" bestFit="1" width="10.0" style="5"/>
    <col min="12102" max="12102" customWidth="1" bestFit="1" width="10.0" style="5"/>
    <col min="12103" max="12103" customWidth="1" bestFit="1" width="10.0" style="5"/>
    <col min="12104" max="12104" customWidth="1" bestFit="1" width="10.0" style="5"/>
    <col min="12105" max="12105" customWidth="1" bestFit="1" width="10.0" style="5"/>
    <col min="12106" max="12106" customWidth="1" bestFit="1" width="10.0" style="5"/>
    <col min="12107" max="12107" customWidth="1" bestFit="1" width="10.0" style="5"/>
    <col min="12108" max="12108" customWidth="1" bestFit="1" width="10.0" style="5"/>
    <col min="12109" max="12109" customWidth="1" bestFit="1" width="10.0" style="5"/>
    <col min="12110" max="12110" customWidth="1" bestFit="1" width="10.0" style="5"/>
    <col min="12111" max="12111" customWidth="1" bestFit="1" width="10.0" style="5"/>
    <col min="12112" max="12112" customWidth="1" bestFit="1" width="10.0" style="5"/>
    <col min="12113" max="12113" customWidth="1" bestFit="1" width="10.0" style="5"/>
    <col min="12114" max="12114" customWidth="1" bestFit="1" width="10.0" style="5"/>
    <col min="12115" max="12115" customWidth="1" bestFit="1" width="10.0" style="5"/>
    <col min="12116" max="12116" customWidth="1" bestFit="1" width="10.0" style="5"/>
    <col min="12117" max="12117" customWidth="1" bestFit="1" width="10.0" style="5"/>
    <col min="12118" max="12118" customWidth="1" bestFit="1" width="10.0" style="5"/>
    <col min="12119" max="12119" customWidth="1" bestFit="1" width="10.0" style="5"/>
    <col min="12120" max="12120" customWidth="1" bestFit="1" width="10.0" style="5"/>
    <col min="12121" max="12121" customWidth="1" bestFit="1" width="10.0" style="5"/>
    <col min="12122" max="12122" customWidth="1" bestFit="1" width="10.0" style="5"/>
    <col min="12123" max="12123" customWidth="1" bestFit="1" width="10.0" style="5"/>
    <col min="12124" max="12124" customWidth="1" bestFit="1" width="10.0" style="5"/>
    <col min="12125" max="12125" customWidth="1" bestFit="1" width="10.0" style="5"/>
    <col min="12126" max="12126" customWidth="1" bestFit="1" width="10.0" style="5"/>
    <col min="12127" max="12127" customWidth="1" bestFit="1" width="10.0" style="5"/>
    <col min="12128" max="12128" customWidth="1" bestFit="1" width="10.0" style="5"/>
    <col min="12129" max="12129" customWidth="1" bestFit="1" width="10.0" style="5"/>
    <col min="12130" max="12130" customWidth="1" bestFit="1" width="10.0" style="5"/>
    <col min="12131" max="12131" customWidth="1" bestFit="1" width="10.0" style="5"/>
    <col min="12132" max="12132" customWidth="1" bestFit="1" width="10.0" style="5"/>
    <col min="12133" max="12133" customWidth="1" bestFit="1" width="10.0" style="5"/>
    <col min="12134" max="12134" customWidth="1" bestFit="1" width="10.0" style="5"/>
    <col min="12135" max="12135" customWidth="1" bestFit="1" width="10.0" style="5"/>
    <col min="12136" max="12136" customWidth="1" bestFit="1" width="10.0" style="5"/>
    <col min="12137" max="12137" customWidth="1" bestFit="1" width="10.0" style="5"/>
    <col min="12138" max="12138" customWidth="1" bestFit="1" width="10.0" style="5"/>
    <col min="12139" max="12139" customWidth="1" bestFit="1" width="10.0" style="5"/>
    <col min="12140" max="12140" customWidth="1" bestFit="1" width="10.0" style="5"/>
    <col min="12141" max="12141" customWidth="1" bestFit="1" width="10.0" style="5"/>
    <col min="12142" max="12142" customWidth="1" bestFit="1" width="10.0" style="5"/>
    <col min="12143" max="12143" customWidth="1" bestFit="1" width="10.0" style="5"/>
    <col min="12144" max="12144" customWidth="1" bestFit="1" width="10.0" style="5"/>
    <col min="12145" max="12145" customWidth="1" bestFit="1" width="10.0" style="5"/>
    <col min="12146" max="12146" customWidth="1" bestFit="1" width="10.0" style="5"/>
    <col min="12147" max="12147" customWidth="1" bestFit="1" width="10.0" style="5"/>
    <col min="12148" max="12148" customWidth="1" bestFit="1" width="10.0" style="5"/>
    <col min="12149" max="12149" customWidth="1" bestFit="1" width="10.0" style="5"/>
    <col min="12150" max="12150" customWidth="1" bestFit="1" width="10.0" style="5"/>
    <col min="12151" max="12151" customWidth="1" bestFit="1" width="10.0" style="5"/>
    <col min="12152" max="12152" customWidth="1" bestFit="1" width="10.0" style="5"/>
    <col min="12153" max="12153" customWidth="1" bestFit="1" width="10.0" style="5"/>
    <col min="12154" max="12154" customWidth="1" bestFit="1" width="10.0" style="5"/>
    <col min="12155" max="12155" customWidth="1" bestFit="1" width="10.0" style="5"/>
    <col min="12156" max="12156" customWidth="1" bestFit="1" width="10.0" style="5"/>
    <col min="12157" max="12157" customWidth="1" bestFit="1" width="10.0" style="5"/>
    <col min="12158" max="12158" customWidth="1" bestFit="1" width="10.0" style="5"/>
    <col min="12159" max="12159" customWidth="1" bestFit="1" width="10.0" style="5"/>
    <col min="12160" max="12160" customWidth="1" bestFit="1" width="10.0" style="5"/>
    <col min="12161" max="12161" customWidth="1" bestFit="1" width="10.0" style="5"/>
    <col min="12162" max="12162" customWidth="1" bestFit="1" width="10.0" style="5"/>
    <col min="12163" max="12163" customWidth="1" bestFit="1" width="10.0" style="5"/>
    <col min="12164" max="12164" customWidth="1" bestFit="1" width="10.0" style="5"/>
    <col min="12165" max="12165" customWidth="1" bestFit="1" width="10.0" style="5"/>
    <col min="12166" max="12166" customWidth="1" bestFit="1" width="10.0" style="5"/>
    <col min="12167" max="12167" customWidth="1" bestFit="1" width="10.0" style="5"/>
    <col min="12168" max="12168" customWidth="1" bestFit="1" width="10.0" style="5"/>
    <col min="12169" max="12169" customWidth="1" bestFit="1" width="10.0" style="5"/>
    <col min="12170" max="12170" customWidth="1" bestFit="1" width="10.0" style="5"/>
    <col min="12171" max="12171" customWidth="1" bestFit="1" width="10.0" style="5"/>
    <col min="12172" max="12172" customWidth="1" bestFit="1" width="10.0" style="5"/>
    <col min="12173" max="12173" customWidth="1" bestFit="1" width="10.0" style="5"/>
    <col min="12174" max="12174" customWidth="1" bestFit="1" width="10.0" style="5"/>
    <col min="12175" max="12175" customWidth="1" bestFit="1" width="10.0" style="5"/>
    <col min="12176" max="12176" customWidth="1" bestFit="1" width="10.0" style="5"/>
    <col min="12177" max="12177" customWidth="1" bestFit="1" width="10.0" style="5"/>
    <col min="12178" max="12178" customWidth="1" bestFit="1" width="10.0" style="5"/>
    <col min="12179" max="12179" customWidth="1" bestFit="1" width="10.0" style="5"/>
    <col min="12180" max="12180" customWidth="1" bestFit="1" width="10.0" style="5"/>
    <col min="12181" max="12181" customWidth="1" bestFit="1" width="10.0" style="5"/>
    <col min="12182" max="12182" customWidth="1" bestFit="1" width="10.0" style="5"/>
    <col min="12183" max="12183" customWidth="1" bestFit="1" width="10.0" style="5"/>
    <col min="12184" max="12184" customWidth="1" bestFit="1" width="10.0" style="5"/>
    <col min="12185" max="12185" customWidth="1" bestFit="1" width="10.0" style="5"/>
    <col min="12186" max="12186" customWidth="1" bestFit="1" width="10.0" style="5"/>
    <col min="12187" max="12187" customWidth="1" bestFit="1" width="10.0" style="5"/>
    <col min="12188" max="12188" customWidth="1" bestFit="1" width="10.0" style="5"/>
    <col min="12189" max="12189" customWidth="1" bestFit="1" width="10.0" style="5"/>
    <col min="12190" max="12190" customWidth="1" bestFit="1" width="10.0" style="5"/>
    <col min="12191" max="12191" customWidth="1" bestFit="1" width="10.0" style="5"/>
    <col min="12192" max="12192" customWidth="1" bestFit="1" width="10.0" style="5"/>
    <col min="12193" max="12193" customWidth="1" bestFit="1" width="10.0" style="5"/>
    <col min="12194" max="12194" customWidth="1" bestFit="1" width="10.0" style="5"/>
    <col min="12195" max="12195" customWidth="1" bestFit="1" width="10.0" style="5"/>
    <col min="12196" max="12196" customWidth="1" bestFit="1" width="10.0" style="5"/>
    <col min="12197" max="12197" customWidth="1" bestFit="1" width="10.0" style="5"/>
    <col min="12198" max="12198" customWidth="1" bestFit="1" width="10.0" style="5"/>
    <col min="12199" max="12199" customWidth="1" bestFit="1" width="10.0" style="5"/>
    <col min="12200" max="12200" customWidth="1" bestFit="1" width="10.0" style="5"/>
    <col min="12201" max="12201" customWidth="1" bestFit="1" width="10.0" style="5"/>
    <col min="12202" max="12202" customWidth="1" bestFit="1" width="10.0" style="5"/>
    <col min="12203" max="12203" customWidth="1" bestFit="1" width="10.0" style="5"/>
    <col min="12204" max="12204" customWidth="1" bestFit="1" width="10.0" style="5"/>
    <col min="12205" max="12205" customWidth="1" bestFit="1" width="10.0" style="5"/>
    <col min="12206" max="12206" customWidth="1" bestFit="1" width="10.0" style="5"/>
    <col min="12207" max="12207" customWidth="1" bestFit="1" width="10.0" style="5"/>
    <col min="12208" max="12208" customWidth="1" bestFit="1" width="10.0" style="5"/>
    <col min="12209" max="12209" customWidth="1" bestFit="1" width="10.0" style="5"/>
    <col min="12210" max="12210" customWidth="1" bestFit="1" width="10.0" style="5"/>
    <col min="12211" max="12211" customWidth="1" bestFit="1" width="10.0" style="5"/>
    <col min="12212" max="12212" customWidth="1" bestFit="1" width="10.0" style="5"/>
    <col min="12213" max="12213" customWidth="1" bestFit="1" width="10.0" style="5"/>
    <col min="12214" max="12214" customWidth="1" bestFit="1" width="10.0" style="5"/>
    <col min="12215" max="12215" customWidth="1" bestFit="1" width="10.0" style="5"/>
    <col min="12216" max="12216" customWidth="1" bestFit="1" width="10.0" style="5"/>
    <col min="12217" max="12217" customWidth="1" bestFit="1" width="10.0" style="5"/>
    <col min="12218" max="12218" customWidth="1" bestFit="1" width="10.0" style="5"/>
    <col min="12219" max="12219" customWidth="1" bestFit="1" width="10.0" style="5"/>
    <col min="12220" max="12220" customWidth="1" bestFit="1" width="10.0" style="5"/>
    <col min="12221" max="12221" customWidth="1" bestFit="1" width="10.0" style="5"/>
    <col min="12222" max="12222" customWidth="1" bestFit="1" width="10.0" style="5"/>
    <col min="12223" max="12223" customWidth="1" bestFit="1" width="10.0" style="5"/>
    <col min="12224" max="12224" customWidth="1" bestFit="1" width="10.0" style="5"/>
    <col min="12225" max="12225" customWidth="1" bestFit="1" width="10.0" style="5"/>
    <col min="12226" max="12226" customWidth="1" bestFit="1" width="10.0" style="5"/>
    <col min="12227" max="12227" customWidth="1" bestFit="1" width="10.0" style="5"/>
    <col min="12228" max="12228" customWidth="1" bestFit="1" width="10.0" style="5"/>
    <col min="12229" max="12229" customWidth="1" bestFit="1" width="10.0" style="5"/>
    <col min="12230" max="12230" customWidth="1" bestFit="1" width="10.0" style="5"/>
    <col min="12231" max="12231" customWidth="1" bestFit="1" width="10.0" style="5"/>
    <col min="12232" max="12232" customWidth="1" bestFit="1" width="10.0" style="5"/>
    <col min="12233" max="12233" customWidth="1" bestFit="1" width="10.0" style="5"/>
    <col min="12234" max="12234" customWidth="1" bestFit="1" width="10.0" style="5"/>
    <col min="12235" max="12235" customWidth="1" bestFit="1" width="10.0" style="5"/>
    <col min="12236" max="12236" customWidth="1" bestFit="1" width="10.0" style="5"/>
    <col min="12237" max="12237" customWidth="1" bestFit="1" width="10.0" style="5"/>
    <col min="12238" max="12238" customWidth="1" bestFit="1" width="10.0" style="5"/>
    <col min="12239" max="12239" customWidth="1" bestFit="1" width="10.0" style="5"/>
    <col min="12240" max="12240" customWidth="1" bestFit="1" width="10.0" style="5"/>
    <col min="12241" max="12241" customWidth="1" bestFit="1" width="10.0" style="5"/>
    <col min="12242" max="12242" customWidth="1" bestFit="1" width="10.0" style="5"/>
    <col min="12243" max="12243" customWidth="1" bestFit="1" width="10.0" style="5"/>
    <col min="12244" max="12244" customWidth="1" bestFit="1" width="10.0" style="5"/>
    <col min="12245" max="12245" customWidth="1" bestFit="1" width="10.0" style="5"/>
    <col min="12246" max="12246" customWidth="1" bestFit="1" width="10.0" style="5"/>
    <col min="12247" max="12247" customWidth="1" bestFit="1" width="10.0" style="5"/>
    <col min="12248" max="12248" customWidth="1" bestFit="1" width="10.0" style="5"/>
    <col min="12249" max="12249" customWidth="1" bestFit="1" width="10.0" style="5"/>
    <col min="12250" max="12250" customWidth="1" bestFit="1" width="10.0" style="5"/>
    <col min="12251" max="12251" customWidth="1" bestFit="1" width="10.0" style="5"/>
    <col min="12252" max="12252" customWidth="1" bestFit="1" width="10.0" style="5"/>
    <col min="12253" max="12253" customWidth="1" bestFit="1" width="10.0" style="5"/>
    <col min="12254" max="12254" customWidth="1" bestFit="1" width="10.0" style="5"/>
    <col min="12255" max="12255" customWidth="1" bestFit="1" width="10.0" style="5"/>
    <col min="12256" max="12256" customWidth="1" bestFit="1" width="10.0" style="5"/>
    <col min="12257" max="12257" customWidth="1" bestFit="1" width="10.0" style="5"/>
    <col min="12258" max="12258" customWidth="1" bestFit="1" width="10.0" style="5"/>
    <col min="12259" max="12259" customWidth="1" bestFit="1" width="10.0" style="5"/>
    <col min="12260" max="12260" customWidth="1" bestFit="1" width="10.0" style="5"/>
    <col min="12261" max="12261" customWidth="1" bestFit="1" width="10.0" style="5"/>
    <col min="12262" max="12262" customWidth="1" bestFit="1" width="10.0" style="5"/>
    <col min="12263" max="12263" customWidth="1" bestFit="1" width="10.0" style="5"/>
    <col min="12264" max="12264" customWidth="1" bestFit="1" width="10.0" style="5"/>
    <col min="12265" max="12265" customWidth="1" bestFit="1" width="10.0" style="5"/>
    <col min="12266" max="12266" customWidth="1" bestFit="1" width="10.0" style="5"/>
    <col min="12267" max="12267" customWidth="1" bestFit="1" width="10.0" style="5"/>
    <col min="12268" max="12268" customWidth="1" bestFit="1" width="10.0" style="5"/>
    <col min="12269" max="12269" customWidth="1" bestFit="1" width="10.0" style="5"/>
    <col min="12270" max="12270" customWidth="1" bestFit="1" width="10.0" style="5"/>
    <col min="12271" max="12271" customWidth="1" bestFit="1" width="10.0" style="5"/>
    <col min="12272" max="12272" customWidth="1" bestFit="1" width="10.0" style="5"/>
    <col min="12273" max="12273" customWidth="1" bestFit="1" width="10.0" style="5"/>
    <col min="12274" max="12274" customWidth="1" bestFit="1" width="10.0" style="5"/>
    <col min="12275" max="12275" customWidth="1" bestFit="1" width="10.0" style="5"/>
    <col min="12276" max="12276" customWidth="1" bestFit="1" width="10.0" style="5"/>
    <col min="12277" max="12277" customWidth="1" bestFit="1" width="10.0" style="5"/>
    <col min="12278" max="12278" customWidth="1" bestFit="1" width="10.0" style="5"/>
    <col min="12279" max="12279" customWidth="1" bestFit="1" width="10.0" style="5"/>
    <col min="12280" max="12280" customWidth="1" bestFit="1" width="10.0" style="5"/>
    <col min="12281" max="12281" customWidth="1" bestFit="1" width="10.0" style="5"/>
    <col min="12282" max="12282" customWidth="1" bestFit="1" width="10.0" style="5"/>
    <col min="12283" max="12283" customWidth="1" bestFit="1" width="10.0" style="5"/>
    <col min="12284" max="12284" customWidth="1" bestFit="1" width="10.0" style="5"/>
    <col min="12285" max="12285" customWidth="1" bestFit="1" width="10.0" style="5"/>
    <col min="12286" max="12286" customWidth="1" bestFit="1" width="10.0" style="5"/>
    <col min="12287" max="12287" customWidth="1" bestFit="1" width="10.0" style="5"/>
    <col min="12288" max="12288" customWidth="1" bestFit="1" width="10.0" style="5"/>
    <col min="12289" max="12289" customWidth="1" bestFit="1" width="10.0" style="5"/>
    <col min="12290" max="12290" customWidth="1" bestFit="1" width="10.0" style="5"/>
    <col min="12291" max="12291" customWidth="1" bestFit="1" width="10.0" style="5"/>
    <col min="12292" max="12292" customWidth="1" bestFit="1" width="10.0" style="5"/>
    <col min="12293" max="12293" customWidth="1" bestFit="1" width="10.0" style="5"/>
    <col min="12294" max="12294" customWidth="1" bestFit="1" width="10.0" style="5"/>
    <col min="12295" max="12295" customWidth="1" bestFit="1" width="10.0" style="5"/>
    <col min="12296" max="12296" customWidth="1" bestFit="1" width="10.0" style="5"/>
    <col min="12297" max="12297" customWidth="1" bestFit="1" width="10.0" style="5"/>
    <col min="12298" max="12298" customWidth="1" bestFit="1" width="10.0" style="5"/>
    <col min="12299" max="12299" customWidth="1" bestFit="1" width="10.0" style="5"/>
    <col min="12300" max="12300" customWidth="1" bestFit="1" width="10.0" style="5"/>
    <col min="12301" max="12301" customWidth="1" bestFit="1" width="10.0" style="5"/>
    <col min="12302" max="12302" customWidth="1" bestFit="1" width="10.0" style="5"/>
    <col min="12303" max="12303" customWidth="1" bestFit="1" width="10.0" style="5"/>
    <col min="12304" max="12304" customWidth="1" bestFit="1" width="10.0" style="5"/>
    <col min="12305" max="12305" customWidth="1" bestFit="1" width="10.0" style="5"/>
    <col min="12306" max="12306" customWidth="1" bestFit="1" width="10.0" style="5"/>
    <col min="12307" max="12307" customWidth="1" bestFit="1" width="10.0" style="5"/>
    <col min="12308" max="12308" customWidth="1" bestFit="1" width="10.0" style="5"/>
    <col min="12309" max="12309" customWidth="1" bestFit="1" width="10.0" style="5"/>
    <col min="12310" max="12310" customWidth="1" bestFit="1" width="10.0" style="5"/>
    <col min="12311" max="12311" customWidth="1" bestFit="1" width="10.0" style="5"/>
    <col min="12312" max="12312" customWidth="1" bestFit="1" width="10.0" style="5"/>
    <col min="12313" max="12313" customWidth="1" bestFit="1" width="10.0" style="5"/>
    <col min="12314" max="12314" customWidth="1" bestFit="1" width="10.0" style="5"/>
    <col min="12315" max="12315" customWidth="1" bestFit="1" width="10.0" style="5"/>
    <col min="12316" max="12316" customWidth="1" bestFit="1" width="10.0" style="5"/>
    <col min="12317" max="12317" customWidth="1" bestFit="1" width="10.0" style="5"/>
    <col min="12318" max="12318" customWidth="1" bestFit="1" width="10.0" style="5"/>
    <col min="12319" max="12319" customWidth="1" bestFit="1" width="10.0" style="5"/>
    <col min="12320" max="12320" customWidth="1" bestFit="1" width="10.0" style="5"/>
    <col min="12321" max="12321" customWidth="1" bestFit="1" width="10.0" style="5"/>
    <col min="12322" max="12322" customWidth="1" bestFit="1" width="10.0" style="5"/>
    <col min="12323" max="12323" customWidth="1" bestFit="1" width="10.0" style="5"/>
    <col min="12324" max="12324" customWidth="1" bestFit="1" width="10.0" style="5"/>
    <col min="12325" max="12325" customWidth="1" bestFit="1" width="10.0" style="5"/>
    <col min="12326" max="12326" customWidth="1" bestFit="1" width="10.0" style="5"/>
    <col min="12327" max="12327" customWidth="1" bestFit="1" width="10.0" style="5"/>
    <col min="12328" max="12328" customWidth="1" bestFit="1" width="10.0" style="5"/>
    <col min="12329" max="12329" customWidth="1" bestFit="1" width="10.0" style="5"/>
    <col min="12330" max="12330" customWidth="1" bestFit="1" width="10.0" style="5"/>
    <col min="12331" max="12331" customWidth="1" bestFit="1" width="10.0" style="5"/>
    <col min="12332" max="12332" customWidth="1" bestFit="1" width="10.0" style="5"/>
    <col min="12333" max="12333" customWidth="1" bestFit="1" width="10.0" style="5"/>
    <col min="12334" max="12334" customWidth="1" bestFit="1" width="10.0" style="5"/>
    <col min="12335" max="12335" customWidth="1" bestFit="1" width="10.0" style="5"/>
    <col min="12336" max="12336" customWidth="1" bestFit="1" width="10.0" style="5"/>
    <col min="12337" max="12337" customWidth="1" bestFit="1" width="10.0" style="5"/>
    <col min="12338" max="12338" customWidth="1" bestFit="1" width="10.0" style="5"/>
    <col min="12339" max="12339" customWidth="1" bestFit="1" width="10.0" style="5"/>
    <col min="12340" max="12340" customWidth="1" bestFit="1" width="10.0" style="5"/>
    <col min="12341" max="12341" customWidth="1" bestFit="1" width="10.0" style="5"/>
    <col min="12342" max="12342" customWidth="1" bestFit="1" width="10.0" style="5"/>
    <col min="12343" max="12343" customWidth="1" bestFit="1" width="10.0" style="5"/>
    <col min="12344" max="12344" customWidth="1" bestFit="1" width="10.0" style="5"/>
    <col min="12345" max="12345" customWidth="1" bestFit="1" width="10.0" style="5"/>
    <col min="12346" max="12346" customWidth="1" bestFit="1" width="10.0" style="5"/>
    <col min="12347" max="12347" customWidth="1" bestFit="1" width="10.0" style="5"/>
    <col min="12348" max="12348" customWidth="1" bestFit="1" width="10.0" style="5"/>
    <col min="12349" max="12349" customWidth="1" bestFit="1" width="10.0" style="5"/>
    <col min="12350" max="12350" customWidth="1" bestFit="1" width="10.0" style="5"/>
    <col min="12351" max="12351" customWidth="1" bestFit="1" width="10.0" style="5"/>
    <col min="12352" max="12352" customWidth="1" bestFit="1" width="10.0" style="5"/>
    <col min="12353" max="12353" customWidth="1" bestFit="1" width="10.0" style="5"/>
    <col min="12354" max="12354" customWidth="1" bestFit="1" width="10.0" style="5"/>
    <col min="12355" max="12355" customWidth="1" bestFit="1" width="10.0" style="5"/>
    <col min="12356" max="12356" customWidth="1" bestFit="1" width="10.0" style="5"/>
    <col min="12357" max="12357" customWidth="1" bestFit="1" width="10.0" style="5"/>
    <col min="12358" max="12358" customWidth="1" bestFit="1" width="10.0" style="5"/>
    <col min="12359" max="12359" customWidth="1" bestFit="1" width="10.0" style="5"/>
    <col min="12360" max="12360" customWidth="1" bestFit="1" width="10.0" style="5"/>
    <col min="12361" max="12361" customWidth="1" bestFit="1" width="10.0" style="5"/>
    <col min="12362" max="12362" customWidth="1" bestFit="1" width="10.0" style="5"/>
    <col min="12363" max="12363" customWidth="1" bestFit="1" width="10.0" style="5"/>
    <col min="12364" max="12364" customWidth="1" bestFit="1" width="10.0" style="5"/>
    <col min="12365" max="12365" customWidth="1" bestFit="1" width="10.0" style="5"/>
    <col min="12366" max="12366" customWidth="1" bestFit="1" width="10.0" style="5"/>
    <col min="12367" max="12367" customWidth="1" bestFit="1" width="10.0" style="5"/>
    <col min="12368" max="12368" customWidth="1" bestFit="1" width="10.0" style="5"/>
    <col min="12369" max="12369" customWidth="1" bestFit="1" width="10.0" style="5"/>
    <col min="12370" max="12370" customWidth="1" bestFit="1" width="10.0" style="5"/>
    <col min="12371" max="12371" customWidth="1" bestFit="1" width="10.0" style="5"/>
    <col min="12372" max="12372" customWidth="1" bestFit="1" width="10.0" style="5"/>
    <col min="12373" max="12373" customWidth="1" bestFit="1" width="10.0" style="5"/>
    <col min="12374" max="12374" customWidth="1" bestFit="1" width="10.0" style="5"/>
    <col min="12375" max="12375" customWidth="1" bestFit="1" width="10.0" style="5"/>
    <col min="12376" max="12376" customWidth="1" bestFit="1" width="10.0" style="5"/>
    <col min="12377" max="12377" customWidth="1" bestFit="1" width="10.0" style="5"/>
    <col min="12378" max="12378" customWidth="1" bestFit="1" width="10.0" style="5"/>
    <col min="12379" max="12379" customWidth="1" bestFit="1" width="10.0" style="5"/>
    <col min="12380" max="12380" customWidth="1" bestFit="1" width="10.0" style="5"/>
    <col min="12381" max="12381" customWidth="1" bestFit="1" width="10.0" style="5"/>
    <col min="12382" max="12382" customWidth="1" bestFit="1" width="10.0" style="5"/>
    <col min="12383" max="12383" customWidth="1" bestFit="1" width="10.0" style="5"/>
    <col min="12384" max="12384" customWidth="1" bestFit="1" width="10.0" style="5"/>
    <col min="12385" max="12385" customWidth="1" bestFit="1" width="10.0" style="5"/>
    <col min="12386" max="12386" customWidth="1" bestFit="1" width="10.0" style="5"/>
    <col min="12387" max="12387" customWidth="1" bestFit="1" width="10.0" style="5"/>
    <col min="12388" max="12388" customWidth="1" bestFit="1" width="10.0" style="5"/>
    <col min="12389" max="12389" customWidth="1" bestFit="1" width="10.0" style="5"/>
    <col min="12390" max="12390" customWidth="1" bestFit="1" width="10.0" style="5"/>
    <col min="12391" max="12391" customWidth="1" bestFit="1" width="10.0" style="5"/>
    <col min="12392" max="12392" customWidth="1" bestFit="1" width="10.0" style="5"/>
    <col min="12393" max="12393" customWidth="1" bestFit="1" width="10.0" style="5"/>
    <col min="12394" max="12394" customWidth="1" bestFit="1" width="10.0" style="5"/>
    <col min="12395" max="12395" customWidth="1" bestFit="1" width="10.0" style="5"/>
    <col min="12396" max="12396" customWidth="1" bestFit="1" width="10.0" style="5"/>
    <col min="12397" max="12397" customWidth="1" bestFit="1" width="10.0" style="5"/>
    <col min="12398" max="12398" customWidth="1" bestFit="1" width="10.0" style="5"/>
    <col min="12399" max="12399" customWidth="1" bestFit="1" width="10.0" style="5"/>
    <col min="12400" max="12400" customWidth="1" bestFit="1" width="10.0" style="5"/>
    <col min="12401" max="12401" customWidth="1" bestFit="1" width="10.0" style="5"/>
    <col min="12402" max="12402" customWidth="1" bestFit="1" width="10.0" style="5"/>
    <col min="12403" max="12403" customWidth="1" bestFit="1" width="10.0" style="5"/>
    <col min="12404" max="12404" customWidth="1" bestFit="1" width="10.0" style="5"/>
    <col min="12405" max="12405" customWidth="1" bestFit="1" width="10.0" style="5"/>
    <col min="12406" max="12406" customWidth="1" bestFit="1" width="10.0" style="5"/>
    <col min="12407" max="12407" customWidth="1" bestFit="1" width="10.0" style="5"/>
    <col min="12408" max="12408" customWidth="1" bestFit="1" width="10.0" style="5"/>
    <col min="12409" max="12409" customWidth="1" bestFit="1" width="10.0" style="5"/>
    <col min="12410" max="12410" customWidth="1" bestFit="1" width="10.0" style="5"/>
    <col min="12411" max="12411" customWidth="1" bestFit="1" width="10.0" style="5"/>
    <col min="12412" max="12412" customWidth="1" bestFit="1" width="10.0" style="5"/>
    <col min="12413" max="12413" customWidth="1" bestFit="1" width="10.0" style="5"/>
    <col min="12414" max="12414" customWidth="1" bestFit="1" width="10.0" style="5"/>
    <col min="12415" max="12415" customWidth="1" bestFit="1" width="10.0" style="5"/>
    <col min="12416" max="12416" customWidth="1" bestFit="1" width="10.0" style="5"/>
    <col min="12417" max="12417" customWidth="1" bestFit="1" width="10.0" style="5"/>
    <col min="12418" max="12418" customWidth="1" bestFit="1" width="10.0" style="5"/>
    <col min="12419" max="12419" customWidth="1" bestFit="1" width="10.0" style="5"/>
    <col min="12420" max="12420" customWidth="1" bestFit="1" width="10.0" style="5"/>
    <col min="12421" max="12421" customWidth="1" bestFit="1" width="10.0" style="5"/>
    <col min="12422" max="12422" customWidth="1" bestFit="1" width="10.0" style="5"/>
    <col min="12423" max="12423" customWidth="1" bestFit="1" width="10.0" style="5"/>
    <col min="12424" max="12424" customWidth="1" bestFit="1" width="10.0" style="5"/>
    <col min="12425" max="12425" customWidth="1" bestFit="1" width="10.0" style="5"/>
    <col min="12426" max="12426" customWidth="1" bestFit="1" width="10.0" style="5"/>
    <col min="12427" max="12427" customWidth="1" bestFit="1" width="10.0" style="5"/>
    <col min="12428" max="12428" customWidth="1" bestFit="1" width="10.0" style="5"/>
    <col min="12429" max="12429" customWidth="1" bestFit="1" width="10.0" style="5"/>
    <col min="12430" max="12430" customWidth="1" bestFit="1" width="10.0" style="5"/>
    <col min="12431" max="12431" customWidth="1" bestFit="1" width="10.0" style="5"/>
    <col min="12432" max="12432" customWidth="1" bestFit="1" width="10.0" style="5"/>
    <col min="12433" max="12433" customWidth="1" bestFit="1" width="10.0" style="5"/>
    <col min="12434" max="12434" customWidth="1" bestFit="1" width="10.0" style="5"/>
    <col min="12435" max="12435" customWidth="1" bestFit="1" width="10.0" style="5"/>
    <col min="12436" max="12436" customWidth="1" bestFit="1" width="10.0" style="5"/>
    <col min="12437" max="12437" customWidth="1" bestFit="1" width="10.0" style="5"/>
    <col min="12438" max="12438" customWidth="1" bestFit="1" width="10.0" style="5"/>
    <col min="12439" max="12439" customWidth="1" bestFit="1" width="10.0" style="5"/>
    <col min="12440" max="12440" customWidth="1" bestFit="1" width="10.0" style="5"/>
    <col min="12441" max="12441" customWidth="1" bestFit="1" width="10.0" style="5"/>
    <col min="12442" max="12442" customWidth="1" bestFit="1" width="10.0" style="5"/>
    <col min="12443" max="12443" customWidth="1" bestFit="1" width="10.0" style="5"/>
    <col min="12444" max="12444" customWidth="1" bestFit="1" width="10.0" style="5"/>
    <col min="12445" max="12445" customWidth="1" bestFit="1" width="10.0" style="5"/>
    <col min="12446" max="12446" customWidth="1" bestFit="1" width="10.0" style="5"/>
    <col min="12447" max="12447" customWidth="1" bestFit="1" width="10.0" style="5"/>
    <col min="12448" max="12448" customWidth="1" bestFit="1" width="10.0" style="5"/>
    <col min="12449" max="12449" customWidth="1" bestFit="1" width="10.0" style="5"/>
    <col min="12450" max="12450" customWidth="1" bestFit="1" width="10.0" style="5"/>
    <col min="12451" max="12451" customWidth="1" bestFit="1" width="10.0" style="5"/>
    <col min="12452" max="12452" customWidth="1" bestFit="1" width="10.0" style="5"/>
    <col min="12453" max="12453" customWidth="1" bestFit="1" width="10.0" style="5"/>
    <col min="12454" max="12454" customWidth="1" bestFit="1" width="10.0" style="5"/>
    <col min="12455" max="12455" customWidth="1" bestFit="1" width="10.0" style="5"/>
    <col min="12456" max="12456" customWidth="1" bestFit="1" width="10.0" style="5"/>
    <col min="12457" max="12457" customWidth="1" bestFit="1" width="10.0" style="5"/>
    <col min="12458" max="12458" customWidth="1" bestFit="1" width="10.0" style="5"/>
    <col min="12459" max="12459" customWidth="1" bestFit="1" width="10.0" style="5"/>
    <col min="12460" max="12460" customWidth="1" bestFit="1" width="10.0" style="5"/>
    <col min="12461" max="12461" customWidth="1" bestFit="1" width="10.0" style="5"/>
    <col min="12462" max="12462" customWidth="1" bestFit="1" width="10.0" style="5"/>
    <col min="12463" max="12463" customWidth="1" bestFit="1" width="10.0" style="5"/>
    <col min="12464" max="12464" customWidth="1" bestFit="1" width="10.0" style="5"/>
    <col min="12465" max="12465" customWidth="1" bestFit="1" width="10.0" style="5"/>
    <col min="12466" max="12466" customWidth="1" bestFit="1" width="10.0" style="5"/>
    <col min="12467" max="12467" customWidth="1" bestFit="1" width="10.0" style="5"/>
    <col min="12468" max="12468" customWidth="1" bestFit="1" width="10.0" style="5"/>
    <col min="12469" max="12469" customWidth="1" bestFit="1" width="10.0" style="5"/>
    <col min="12470" max="12470" customWidth="1" bestFit="1" width="10.0" style="5"/>
    <col min="12471" max="12471" customWidth="1" bestFit="1" width="10.0" style="5"/>
    <col min="12472" max="12472" customWidth="1" bestFit="1" width="10.0" style="5"/>
    <col min="12473" max="12473" customWidth="1" bestFit="1" width="10.0" style="5"/>
    <col min="12474" max="12474" customWidth="1" bestFit="1" width="10.0" style="5"/>
    <col min="12475" max="12475" customWidth="1" bestFit="1" width="10.0" style="5"/>
    <col min="12476" max="12476" customWidth="1" bestFit="1" width="10.0" style="5"/>
    <col min="12477" max="12477" customWidth="1" bestFit="1" width="10.0" style="5"/>
    <col min="12478" max="12478" customWidth="1" bestFit="1" width="10.0" style="5"/>
    <col min="12479" max="12479" customWidth="1" bestFit="1" width="10.0" style="5"/>
    <col min="12480" max="12480" customWidth="1" bestFit="1" width="10.0" style="5"/>
    <col min="12481" max="12481" customWidth="1" bestFit="1" width="10.0" style="5"/>
    <col min="12482" max="12482" customWidth="1" bestFit="1" width="10.0" style="5"/>
    <col min="12483" max="12483" customWidth="1" bestFit="1" width="10.0" style="5"/>
    <col min="12484" max="12484" customWidth="1" bestFit="1" width="10.0" style="5"/>
    <col min="12485" max="12485" customWidth="1" bestFit="1" width="10.0" style="5"/>
    <col min="12486" max="12486" customWidth="1" bestFit="1" width="10.0" style="5"/>
    <col min="12487" max="12487" customWidth="1" bestFit="1" width="10.0" style="5"/>
    <col min="12488" max="12488" customWidth="1" bestFit="1" width="10.0" style="5"/>
    <col min="12489" max="12489" customWidth="1" bestFit="1" width="10.0" style="5"/>
    <col min="12490" max="12490" customWidth="1" bestFit="1" width="10.0" style="5"/>
    <col min="12491" max="12491" customWidth="1" bestFit="1" width="10.0" style="5"/>
    <col min="12492" max="12492" customWidth="1" bestFit="1" width="10.0" style="5"/>
    <col min="12493" max="12493" customWidth="1" bestFit="1" width="10.0" style="5"/>
    <col min="12494" max="12494" customWidth="1" bestFit="1" width="10.0" style="5"/>
    <col min="12495" max="12495" customWidth="1" bestFit="1" width="10.0" style="5"/>
    <col min="12496" max="12496" customWidth="1" bestFit="1" width="10.0" style="5"/>
    <col min="12497" max="12497" customWidth="1" bestFit="1" width="10.0" style="5"/>
    <col min="12498" max="12498" customWidth="1" bestFit="1" width="10.0" style="5"/>
    <col min="12499" max="12499" customWidth="1" bestFit="1" width="10.0" style="5"/>
    <col min="12500" max="12500" customWidth="1" bestFit="1" width="10.0" style="5"/>
    <col min="12501" max="12501" customWidth="1" bestFit="1" width="10.0" style="5"/>
    <col min="12502" max="12502" customWidth="1" bestFit="1" width="10.0" style="5"/>
    <col min="12503" max="12503" customWidth="1" bestFit="1" width="10.0" style="5"/>
    <col min="12504" max="12504" customWidth="1" bestFit="1" width="10.0" style="5"/>
    <col min="12505" max="12505" customWidth="1" bestFit="1" width="10.0" style="5"/>
    <col min="12506" max="12506" customWidth="1" bestFit="1" width="10.0" style="5"/>
    <col min="12507" max="12507" customWidth="1" bestFit="1" width="10.0" style="5"/>
    <col min="12508" max="12508" customWidth="1" bestFit="1" width="10.0" style="5"/>
    <col min="12509" max="12509" customWidth="1" bestFit="1" width="10.0" style="5"/>
    <col min="12510" max="12510" customWidth="1" bestFit="1" width="10.0" style="5"/>
    <col min="12511" max="12511" customWidth="1" bestFit="1" width="10.0" style="5"/>
    <col min="12512" max="12512" customWidth="1" bestFit="1" width="10.0" style="5"/>
    <col min="12513" max="12513" customWidth="1" bestFit="1" width="10.0" style="5"/>
    <col min="12514" max="12514" customWidth="1" bestFit="1" width="10.0" style="5"/>
    <col min="12515" max="12515" customWidth="1" bestFit="1" width="10.0" style="5"/>
    <col min="12516" max="12516" customWidth="1" bestFit="1" width="10.0" style="5"/>
    <col min="12517" max="12517" customWidth="1" bestFit="1" width="10.0" style="5"/>
    <col min="12518" max="12518" customWidth="1" bestFit="1" width="10.0" style="5"/>
    <col min="12519" max="12519" customWidth="1" bestFit="1" width="10.0" style="5"/>
    <col min="12520" max="12520" customWidth="1" bestFit="1" width="10.0" style="5"/>
    <col min="12521" max="12521" customWidth="1" bestFit="1" width="10.0" style="5"/>
    <col min="12522" max="12522" customWidth="1" bestFit="1" width="10.0" style="5"/>
    <col min="12523" max="12523" customWidth="1" bestFit="1" width="10.0" style="5"/>
    <col min="12524" max="12524" customWidth="1" bestFit="1" width="10.0" style="5"/>
    <col min="12525" max="12525" customWidth="1" bestFit="1" width="10.0" style="5"/>
    <col min="12526" max="12526" customWidth="1" bestFit="1" width="10.0" style="5"/>
    <col min="12527" max="12527" customWidth="1" bestFit="1" width="10.0" style="5"/>
    <col min="12528" max="12528" customWidth="1" bestFit="1" width="10.0" style="5"/>
    <col min="12529" max="12529" customWidth="1" bestFit="1" width="10.0" style="5"/>
    <col min="12530" max="12530" customWidth="1" bestFit="1" width="10.0" style="5"/>
    <col min="12531" max="12531" customWidth="1" bestFit="1" width="10.0" style="5"/>
    <col min="12532" max="12532" customWidth="1" bestFit="1" width="10.0" style="5"/>
    <col min="12533" max="12533" customWidth="1" bestFit="1" width="10.0" style="5"/>
    <col min="12534" max="12534" customWidth="1" bestFit="1" width="10.0" style="5"/>
    <col min="12535" max="12535" customWidth="1" bestFit="1" width="10.0" style="5"/>
    <col min="12536" max="12536" customWidth="1" bestFit="1" width="10.0" style="5"/>
    <col min="12537" max="12537" customWidth="1" bestFit="1" width="10.0" style="5"/>
    <col min="12538" max="12538" customWidth="1" bestFit="1" width="10.0" style="5"/>
    <col min="12539" max="12539" customWidth="1" bestFit="1" width="10.0" style="5"/>
    <col min="12540" max="12540" customWidth="1" bestFit="1" width="10.0" style="5"/>
    <col min="12541" max="12541" customWidth="1" bestFit="1" width="10.0" style="5"/>
    <col min="12542" max="12542" customWidth="1" bestFit="1" width="10.0" style="5"/>
    <col min="12543" max="12543" customWidth="1" bestFit="1" width="10.0" style="5"/>
    <col min="12544" max="12544" customWidth="1" bestFit="1" width="10.0" style="5"/>
    <col min="12545" max="12545" customWidth="1" bestFit="1" width="10.0" style="5"/>
    <col min="12546" max="12546" customWidth="1" bestFit="1" width="10.0" style="5"/>
    <col min="12547" max="12547" customWidth="1" bestFit="1" width="10.0" style="5"/>
    <col min="12548" max="12548" customWidth="1" bestFit="1" width="10.0" style="5"/>
    <col min="12549" max="12549" customWidth="1" bestFit="1" width="10.0" style="5"/>
    <col min="12550" max="12550" customWidth="1" bestFit="1" width="10.0" style="5"/>
    <col min="12551" max="12551" customWidth="1" bestFit="1" width="10.0" style="5"/>
    <col min="12552" max="12552" customWidth="1" bestFit="1" width="10.0" style="5"/>
    <col min="12553" max="12553" customWidth="1" bestFit="1" width="10.0" style="5"/>
    <col min="12554" max="12554" customWidth="1" bestFit="1" width="10.0" style="5"/>
    <col min="12555" max="12555" customWidth="1" bestFit="1" width="10.0" style="5"/>
    <col min="12556" max="12556" customWidth="1" bestFit="1" width="10.0" style="5"/>
    <col min="12557" max="12557" customWidth="1" bestFit="1" width="10.0" style="5"/>
    <col min="12558" max="12558" customWidth="1" bestFit="1" width="10.0" style="5"/>
    <col min="12559" max="12559" customWidth="1" bestFit="1" width="10.0" style="5"/>
    <col min="12560" max="12560" customWidth="1" bestFit="1" width="10.0" style="5"/>
    <col min="12561" max="12561" customWidth="1" bestFit="1" width="10.0" style="5"/>
    <col min="12562" max="12562" customWidth="1" bestFit="1" width="10.0" style="5"/>
    <col min="12563" max="12563" customWidth="1" bestFit="1" width="10.0" style="5"/>
    <col min="12564" max="12564" customWidth="1" bestFit="1" width="10.0" style="5"/>
    <col min="12565" max="12565" customWidth="1" bestFit="1" width="10.0" style="5"/>
    <col min="12566" max="12566" customWidth="1" bestFit="1" width="10.0" style="5"/>
    <col min="12567" max="12567" customWidth="1" bestFit="1" width="10.0" style="5"/>
    <col min="12568" max="12568" customWidth="1" bestFit="1" width="10.0" style="5"/>
    <col min="12569" max="12569" customWidth="1" bestFit="1" width="10.0" style="5"/>
    <col min="12570" max="12570" customWidth="1" bestFit="1" width="10.0" style="5"/>
    <col min="12571" max="12571" customWidth="1" bestFit="1" width="10.0" style="5"/>
    <col min="12572" max="12572" customWidth="1" bestFit="1" width="10.0" style="5"/>
    <col min="12573" max="12573" customWidth="1" bestFit="1" width="10.0" style="5"/>
    <col min="12574" max="12574" customWidth="1" bestFit="1" width="10.0" style="5"/>
    <col min="12575" max="12575" customWidth="1" bestFit="1" width="10.0" style="5"/>
    <col min="12576" max="12576" customWidth="1" bestFit="1" width="10.0" style="5"/>
    <col min="12577" max="12577" customWidth="1" bestFit="1" width="10.0" style="5"/>
    <col min="12578" max="12578" customWidth="1" bestFit="1" width="10.0" style="5"/>
    <col min="12579" max="12579" customWidth="1" bestFit="1" width="10.0" style="5"/>
    <col min="12580" max="12580" customWidth="1" bestFit="1" width="10.0" style="5"/>
    <col min="12581" max="12581" customWidth="1" bestFit="1" width="10.0" style="5"/>
    <col min="12582" max="12582" customWidth="1" bestFit="1" width="10.0" style="5"/>
    <col min="12583" max="12583" customWidth="1" bestFit="1" width="10.0" style="5"/>
    <col min="12584" max="12584" customWidth="1" bestFit="1" width="10.0" style="5"/>
    <col min="12585" max="12585" customWidth="1" bestFit="1" width="10.0" style="5"/>
    <col min="12586" max="12586" customWidth="1" bestFit="1" width="10.0" style="5"/>
    <col min="12587" max="12587" customWidth="1" bestFit="1" width="10.0" style="5"/>
    <col min="12588" max="12588" customWidth="1" bestFit="1" width="10.0" style="5"/>
    <col min="12589" max="12589" customWidth="1" bestFit="1" width="10.0" style="5"/>
    <col min="12590" max="12590" customWidth="1" bestFit="1" width="10.0" style="5"/>
    <col min="12591" max="12591" customWidth="1" bestFit="1" width="10.0" style="5"/>
    <col min="12592" max="12592" customWidth="1" bestFit="1" width="10.0" style="5"/>
    <col min="12593" max="12593" customWidth="1" bestFit="1" width="10.0" style="5"/>
    <col min="12594" max="12594" customWidth="1" bestFit="1" width="10.0" style="5"/>
    <col min="12595" max="12595" customWidth="1" bestFit="1" width="10.0" style="5"/>
    <col min="12596" max="12596" customWidth="1" bestFit="1" width="10.0" style="5"/>
    <col min="12597" max="12597" customWidth="1" bestFit="1" width="10.0" style="5"/>
    <col min="12598" max="12598" customWidth="1" bestFit="1" width="10.0" style="5"/>
    <col min="12599" max="12599" customWidth="1" bestFit="1" width="10.0" style="5"/>
    <col min="12600" max="12600" customWidth="1" bestFit="1" width="10.0" style="5"/>
    <col min="12601" max="12601" customWidth="1" bestFit="1" width="10.0" style="5"/>
    <col min="12602" max="12602" customWidth="1" bestFit="1" width="10.0" style="5"/>
    <col min="12603" max="12603" customWidth="1" bestFit="1" width="10.0" style="5"/>
    <col min="12604" max="12604" customWidth="1" bestFit="1" width="10.0" style="5"/>
    <col min="12605" max="12605" customWidth="1" bestFit="1" width="10.0" style="5"/>
    <col min="12606" max="12606" customWidth="1" bestFit="1" width="10.0" style="5"/>
    <col min="12607" max="12607" customWidth="1" bestFit="1" width="10.0" style="5"/>
    <col min="12608" max="12608" customWidth="1" bestFit="1" width="10.0" style="5"/>
    <col min="12609" max="12609" customWidth="1" bestFit="1" width="10.0" style="5"/>
    <col min="12610" max="12610" customWidth="1" bestFit="1" width="10.0" style="5"/>
    <col min="12611" max="12611" customWidth="1" bestFit="1" width="10.0" style="5"/>
    <col min="12612" max="12612" customWidth="1" bestFit="1" width="10.0" style="5"/>
    <col min="12613" max="12613" customWidth="1" bestFit="1" width="10.0" style="5"/>
    <col min="12614" max="12614" customWidth="1" bestFit="1" width="10.0" style="5"/>
    <col min="12615" max="12615" customWidth="1" bestFit="1" width="10.0" style="5"/>
    <col min="12616" max="12616" customWidth="1" bestFit="1" width="10.0" style="5"/>
    <col min="12617" max="12617" customWidth="1" bestFit="1" width="10.0" style="5"/>
    <col min="12618" max="12618" customWidth="1" bestFit="1" width="10.0" style="5"/>
    <col min="12619" max="12619" customWidth="1" bestFit="1" width="10.0" style="5"/>
    <col min="12620" max="12620" customWidth="1" bestFit="1" width="10.0" style="5"/>
    <col min="12621" max="12621" customWidth="1" bestFit="1" width="10.0" style="5"/>
    <col min="12622" max="12622" customWidth="1" bestFit="1" width="10.0" style="5"/>
    <col min="12623" max="12623" customWidth="1" bestFit="1" width="10.0" style="5"/>
    <col min="12624" max="12624" customWidth="1" bestFit="1" width="10.0" style="5"/>
    <col min="12625" max="12625" customWidth="1" bestFit="1" width="10.0" style="5"/>
    <col min="12626" max="12626" customWidth="1" bestFit="1" width="10.0" style="5"/>
    <col min="12627" max="12627" customWidth="1" bestFit="1" width="10.0" style="5"/>
    <col min="12628" max="12628" customWidth="1" bestFit="1" width="10.0" style="5"/>
    <col min="12629" max="12629" customWidth="1" bestFit="1" width="10.0" style="5"/>
    <col min="12630" max="12630" customWidth="1" bestFit="1" width="10.0" style="5"/>
    <col min="12631" max="12631" customWidth="1" bestFit="1" width="10.0" style="5"/>
    <col min="12632" max="12632" customWidth="1" bestFit="1" width="10.0" style="5"/>
    <col min="12633" max="12633" customWidth="1" bestFit="1" width="10.0" style="5"/>
    <col min="12634" max="12634" customWidth="1" bestFit="1" width="10.0" style="5"/>
    <col min="12635" max="12635" customWidth="1" bestFit="1" width="10.0" style="5"/>
    <col min="12636" max="12636" customWidth="1" bestFit="1" width="10.0" style="5"/>
    <col min="12637" max="12637" customWidth="1" bestFit="1" width="10.0" style="5"/>
    <col min="12638" max="12638" customWidth="1" bestFit="1" width="10.0" style="5"/>
    <col min="12639" max="12639" customWidth="1" bestFit="1" width="10.0" style="5"/>
    <col min="12640" max="12640" customWidth="1" bestFit="1" width="10.0" style="5"/>
    <col min="12641" max="12641" customWidth="1" bestFit="1" width="10.0" style="5"/>
    <col min="12642" max="12642" customWidth="1" bestFit="1" width="10.0" style="5"/>
    <col min="12643" max="12643" customWidth="1" bestFit="1" width="10.0" style="5"/>
    <col min="12644" max="12644" customWidth="1" bestFit="1" width="10.0" style="5"/>
    <col min="12645" max="12645" customWidth="1" bestFit="1" width="10.0" style="5"/>
    <col min="12646" max="12646" customWidth="1" bestFit="1" width="10.0" style="5"/>
    <col min="12647" max="12647" customWidth="1" bestFit="1" width="10.0" style="5"/>
    <col min="12648" max="12648" customWidth="1" bestFit="1" width="10.0" style="5"/>
    <col min="12649" max="12649" customWidth="1" bestFit="1" width="10.0" style="5"/>
    <col min="12650" max="12650" customWidth="1" bestFit="1" width="10.0" style="5"/>
    <col min="12651" max="12651" customWidth="1" bestFit="1" width="10.0" style="5"/>
    <col min="12652" max="12652" customWidth="1" bestFit="1" width="10.0" style="5"/>
    <col min="12653" max="12653" customWidth="1" bestFit="1" width="10.0" style="5"/>
    <col min="12654" max="12654" customWidth="1" bestFit="1" width="10.0" style="5"/>
    <col min="12655" max="12655" customWidth="1" bestFit="1" width="10.0" style="5"/>
    <col min="12656" max="12656" customWidth="1" bestFit="1" width="10.0" style="5"/>
    <col min="12657" max="12657" customWidth="1" bestFit="1" width="10.0" style="5"/>
    <col min="12658" max="12658" customWidth="1" bestFit="1" width="10.0" style="5"/>
    <col min="12659" max="12659" customWidth="1" bestFit="1" width="10.0" style="5"/>
    <col min="12660" max="12660" customWidth="1" bestFit="1" width="10.0" style="5"/>
    <col min="12661" max="12661" customWidth="1" bestFit="1" width="10.0" style="5"/>
    <col min="12662" max="12662" customWidth="1" bestFit="1" width="10.0" style="5"/>
    <col min="12663" max="12663" customWidth="1" bestFit="1" width="10.0" style="5"/>
    <col min="12664" max="12664" customWidth="1" bestFit="1" width="10.0" style="5"/>
    <col min="12665" max="12665" customWidth="1" bestFit="1" width="10.0" style="5"/>
    <col min="12666" max="12666" customWidth="1" bestFit="1" width="10.0" style="5"/>
    <col min="12667" max="12667" customWidth="1" bestFit="1" width="10.0" style="5"/>
    <col min="12668" max="12668" customWidth="1" bestFit="1" width="10.0" style="5"/>
    <col min="12669" max="12669" customWidth="1" bestFit="1" width="10.0" style="5"/>
    <col min="12670" max="12670" customWidth="1" bestFit="1" width="10.0" style="5"/>
    <col min="12671" max="12671" customWidth="1" bestFit="1" width="10.0" style="5"/>
    <col min="12672" max="12672" customWidth="1" bestFit="1" width="10.0" style="5"/>
    <col min="12673" max="12673" customWidth="1" bestFit="1" width="10.0" style="5"/>
    <col min="12674" max="12674" customWidth="1" bestFit="1" width="10.0" style="5"/>
    <col min="12675" max="12675" customWidth="1" bestFit="1" width="10.0" style="5"/>
    <col min="12676" max="12676" customWidth="1" bestFit="1" width="10.0" style="5"/>
    <col min="12677" max="12677" customWidth="1" bestFit="1" width="10.0" style="5"/>
    <col min="12678" max="12678" customWidth="1" bestFit="1" width="10.0" style="5"/>
    <col min="12679" max="12679" customWidth="1" bestFit="1" width="10.0" style="5"/>
    <col min="12680" max="12680" customWidth="1" bestFit="1" width="10.0" style="5"/>
    <col min="12681" max="12681" customWidth="1" bestFit="1" width="10.0" style="5"/>
    <col min="12682" max="12682" customWidth="1" bestFit="1" width="10.0" style="5"/>
    <col min="12683" max="12683" customWidth="1" bestFit="1" width="10.0" style="5"/>
    <col min="12684" max="12684" customWidth="1" bestFit="1" width="10.0" style="5"/>
    <col min="12685" max="12685" customWidth="1" bestFit="1" width="10.0" style="5"/>
    <col min="12686" max="12686" customWidth="1" bestFit="1" width="10.0" style="5"/>
    <col min="12687" max="12687" customWidth="1" bestFit="1" width="10.0" style="5"/>
    <col min="12688" max="12688" customWidth="1" bestFit="1" width="10.0" style="5"/>
    <col min="12689" max="12689" customWidth="1" bestFit="1" width="10.0" style="5"/>
    <col min="12690" max="12690" customWidth="1" bestFit="1" width="10.0" style="5"/>
    <col min="12691" max="12691" customWidth="1" bestFit="1" width="10.0" style="5"/>
    <col min="12692" max="12692" customWidth="1" bestFit="1" width="10.0" style="5"/>
    <col min="12693" max="12693" customWidth="1" bestFit="1" width="10.0" style="5"/>
    <col min="12694" max="12694" customWidth="1" bestFit="1" width="10.0" style="5"/>
    <col min="12695" max="12695" customWidth="1" bestFit="1" width="10.0" style="5"/>
    <col min="12696" max="12696" customWidth="1" bestFit="1" width="10.0" style="5"/>
    <col min="12697" max="12697" customWidth="1" bestFit="1" width="10.0" style="5"/>
    <col min="12698" max="12698" customWidth="1" bestFit="1" width="10.0" style="5"/>
    <col min="12699" max="12699" customWidth="1" bestFit="1" width="10.0" style="5"/>
    <col min="12700" max="12700" customWidth="1" bestFit="1" width="10.0" style="5"/>
    <col min="12701" max="12701" customWidth="1" bestFit="1" width="10.0" style="5"/>
    <col min="12702" max="12702" customWidth="1" bestFit="1" width="10.0" style="5"/>
    <col min="12703" max="12703" customWidth="1" bestFit="1" width="10.0" style="5"/>
    <col min="12704" max="12704" customWidth="1" bestFit="1" width="10.0" style="5"/>
    <col min="12705" max="12705" customWidth="1" bestFit="1" width="10.0" style="5"/>
    <col min="12706" max="12706" customWidth="1" bestFit="1" width="10.0" style="5"/>
    <col min="12707" max="12707" customWidth="1" bestFit="1" width="10.0" style="5"/>
    <col min="12708" max="12708" customWidth="1" bestFit="1" width="10.0" style="5"/>
    <col min="12709" max="12709" customWidth="1" bestFit="1" width="10.0" style="5"/>
    <col min="12710" max="12710" customWidth="1" bestFit="1" width="10.0" style="5"/>
    <col min="12711" max="12711" customWidth="1" bestFit="1" width="10.0" style="5"/>
    <col min="12712" max="12712" customWidth="1" bestFit="1" width="10.0" style="5"/>
    <col min="12713" max="12713" customWidth="1" bestFit="1" width="10.0" style="5"/>
    <col min="12714" max="12714" customWidth="1" bestFit="1" width="10.0" style="5"/>
    <col min="12715" max="12715" customWidth="1" bestFit="1" width="10.0" style="5"/>
    <col min="12716" max="12716" customWidth="1" bestFit="1" width="10.0" style="5"/>
    <col min="12717" max="12717" customWidth="1" bestFit="1" width="10.0" style="5"/>
    <col min="12718" max="12718" customWidth="1" bestFit="1" width="10.0" style="5"/>
    <col min="12719" max="12719" customWidth="1" bestFit="1" width="10.0" style="5"/>
    <col min="12720" max="12720" customWidth="1" bestFit="1" width="10.0" style="5"/>
    <col min="12721" max="12721" customWidth="1" bestFit="1" width="10.0" style="5"/>
    <col min="12722" max="12722" customWidth="1" bestFit="1" width="10.0" style="5"/>
    <col min="12723" max="12723" customWidth="1" bestFit="1" width="10.0" style="5"/>
    <col min="12724" max="12724" customWidth="1" bestFit="1" width="10.0" style="5"/>
    <col min="12725" max="12725" customWidth="1" bestFit="1" width="10.0" style="5"/>
    <col min="12726" max="12726" customWidth="1" bestFit="1" width="10.0" style="5"/>
    <col min="12727" max="12727" customWidth="1" bestFit="1" width="10.0" style="5"/>
    <col min="12728" max="12728" customWidth="1" bestFit="1" width="10.0" style="5"/>
    <col min="12729" max="12729" customWidth="1" bestFit="1" width="10.0" style="5"/>
    <col min="12730" max="12730" customWidth="1" bestFit="1" width="10.0" style="5"/>
    <col min="12731" max="12731" customWidth="1" bestFit="1" width="10.0" style="5"/>
    <col min="12732" max="12732" customWidth="1" bestFit="1" width="10.0" style="5"/>
    <col min="12733" max="12733" customWidth="1" bestFit="1" width="10.0" style="5"/>
    <col min="12734" max="12734" customWidth="1" bestFit="1" width="10.0" style="5"/>
    <col min="12735" max="12735" customWidth="1" bestFit="1" width="10.0" style="5"/>
    <col min="12736" max="12736" customWidth="1" bestFit="1" width="10.0" style="5"/>
    <col min="12737" max="12737" customWidth="1" bestFit="1" width="10.0" style="5"/>
    <col min="12738" max="12738" customWidth="1" bestFit="1" width="10.0" style="5"/>
    <col min="12739" max="12739" customWidth="1" bestFit="1" width="10.0" style="5"/>
    <col min="12740" max="12740" customWidth="1" bestFit="1" width="10.0" style="5"/>
    <col min="12741" max="12741" customWidth="1" bestFit="1" width="10.0" style="5"/>
    <col min="12742" max="12742" customWidth="1" bestFit="1" width="10.0" style="5"/>
    <col min="12743" max="12743" customWidth="1" bestFit="1" width="10.0" style="5"/>
    <col min="12744" max="12744" customWidth="1" bestFit="1" width="10.0" style="5"/>
    <col min="12745" max="12745" customWidth="1" bestFit="1" width="10.0" style="5"/>
    <col min="12746" max="12746" customWidth="1" bestFit="1" width="10.0" style="5"/>
    <col min="12747" max="12747" customWidth="1" bestFit="1" width="10.0" style="5"/>
    <col min="12748" max="12748" customWidth="1" bestFit="1" width="10.0" style="5"/>
    <col min="12749" max="12749" customWidth="1" bestFit="1" width="10.0" style="5"/>
    <col min="12750" max="12750" customWidth="1" bestFit="1" width="10.0" style="5"/>
    <col min="12751" max="12751" customWidth="1" bestFit="1" width="10.0" style="5"/>
    <col min="12752" max="12752" customWidth="1" bestFit="1" width="10.0" style="5"/>
    <col min="12753" max="12753" customWidth="1" bestFit="1" width="10.0" style="5"/>
    <col min="12754" max="12754" customWidth="1" bestFit="1" width="10.0" style="5"/>
    <col min="12755" max="12755" customWidth="1" bestFit="1" width="10.0" style="5"/>
    <col min="12756" max="12756" customWidth="1" bestFit="1" width="10.0" style="5"/>
    <col min="12757" max="12757" customWidth="1" bestFit="1" width="10.0" style="5"/>
    <col min="12758" max="12758" customWidth="1" bestFit="1" width="10.0" style="5"/>
    <col min="12759" max="12759" customWidth="1" bestFit="1" width="10.0" style="5"/>
    <col min="12760" max="12760" customWidth="1" bestFit="1" width="10.0" style="5"/>
    <col min="12761" max="12761" customWidth="1" bestFit="1" width="10.0" style="5"/>
    <col min="12762" max="12762" customWidth="1" bestFit="1" width="10.0" style="5"/>
    <col min="12763" max="12763" customWidth="1" bestFit="1" width="10.0" style="5"/>
    <col min="12764" max="12764" customWidth="1" bestFit="1" width="10.0" style="5"/>
    <col min="12765" max="12765" customWidth="1" bestFit="1" width="10.0" style="5"/>
    <col min="12766" max="12766" customWidth="1" bestFit="1" width="10.0" style="5"/>
    <col min="12767" max="12767" customWidth="1" bestFit="1" width="10.0" style="5"/>
    <col min="12768" max="12768" customWidth="1" bestFit="1" width="10.0" style="5"/>
    <col min="12769" max="12769" customWidth="1" bestFit="1" width="10.0" style="5"/>
    <col min="12770" max="12770" customWidth="1" bestFit="1" width="10.0" style="5"/>
    <col min="12771" max="12771" customWidth="1" bestFit="1" width="10.0" style="5"/>
    <col min="12772" max="12772" customWidth="1" bestFit="1" width="10.0" style="5"/>
    <col min="12773" max="12773" customWidth="1" bestFit="1" width="10.0" style="5"/>
    <col min="12774" max="12774" customWidth="1" bestFit="1" width="10.0" style="5"/>
    <col min="12775" max="12775" customWidth="1" bestFit="1" width="10.0" style="5"/>
    <col min="12776" max="12776" customWidth="1" bestFit="1" width="10.0" style="5"/>
    <col min="12777" max="12777" customWidth="1" bestFit="1" width="10.0" style="5"/>
    <col min="12778" max="12778" customWidth="1" bestFit="1" width="10.0" style="5"/>
    <col min="12779" max="12779" customWidth="1" bestFit="1" width="10.0" style="5"/>
    <col min="12780" max="12780" customWidth="1" bestFit="1" width="10.0" style="5"/>
    <col min="12781" max="12781" customWidth="1" bestFit="1" width="10.0" style="5"/>
    <col min="12782" max="12782" customWidth="1" bestFit="1" width="10.0" style="5"/>
    <col min="12783" max="12783" customWidth="1" bestFit="1" width="10.0" style="5"/>
    <col min="12784" max="12784" customWidth="1" bestFit="1" width="10.0" style="5"/>
    <col min="12785" max="12785" customWidth="1" bestFit="1" width="10.0" style="5"/>
    <col min="12786" max="12786" customWidth="1" bestFit="1" width="10.0" style="5"/>
    <col min="12787" max="12787" customWidth="1" bestFit="1" width="10.0" style="5"/>
    <col min="12788" max="12788" customWidth="1" bestFit="1" width="10.0" style="5"/>
    <col min="12789" max="12789" customWidth="1" bestFit="1" width="10.0" style="5"/>
    <col min="12790" max="12790" customWidth="1" bestFit="1" width="10.0" style="5"/>
    <col min="12791" max="12791" customWidth="1" bestFit="1" width="10.0" style="5"/>
    <col min="12792" max="12792" customWidth="1" bestFit="1" width="10.0" style="5"/>
    <col min="12793" max="12793" customWidth="1" bestFit="1" width="10.0" style="5"/>
    <col min="12794" max="12794" customWidth="1" bestFit="1" width="10.0" style="5"/>
    <col min="12795" max="12795" customWidth="1" bestFit="1" width="10.0" style="5"/>
    <col min="12796" max="12796" customWidth="1" bestFit="1" width="10.0" style="5"/>
    <col min="12797" max="12797" customWidth="1" bestFit="1" width="10.0" style="5"/>
    <col min="12798" max="12798" customWidth="1" bestFit="1" width="10.0" style="5"/>
    <col min="12799" max="12799" customWidth="1" bestFit="1" width="10.0" style="5"/>
    <col min="12800" max="12800" customWidth="1" bestFit="1" width="10.0" style="5"/>
    <col min="12801" max="12801" customWidth="1" bestFit="1" width="10.0" style="5"/>
    <col min="12802" max="12802" customWidth="1" bestFit="1" width="10.0" style="5"/>
    <col min="12803" max="12803" customWidth="1" bestFit="1" width="10.0" style="5"/>
    <col min="12804" max="12804" customWidth="1" bestFit="1" width="10.0" style="5"/>
    <col min="12805" max="12805" customWidth="1" bestFit="1" width="10.0" style="5"/>
    <col min="12806" max="12806" customWidth="1" bestFit="1" width="10.0" style="5"/>
    <col min="12807" max="12807" customWidth="1" bestFit="1" width="10.0" style="5"/>
    <col min="12808" max="12808" customWidth="1" bestFit="1" width="10.0" style="5"/>
    <col min="12809" max="12809" customWidth="1" bestFit="1" width="10.0" style="5"/>
    <col min="12810" max="12810" customWidth="1" bestFit="1" width="10.0" style="5"/>
    <col min="12811" max="12811" customWidth="1" bestFit="1" width="10.0" style="5"/>
    <col min="12812" max="12812" customWidth="1" bestFit="1" width="10.0" style="5"/>
    <col min="12813" max="12813" customWidth="1" bestFit="1" width="10.0" style="5"/>
    <col min="12814" max="12814" customWidth="1" bestFit="1" width="10.0" style="5"/>
    <col min="12815" max="12815" customWidth="1" bestFit="1" width="10.0" style="5"/>
    <col min="12816" max="12816" customWidth="1" bestFit="1" width="10.0" style="5"/>
    <col min="12817" max="12817" customWidth="1" bestFit="1" width="10.0" style="5"/>
    <col min="12818" max="12818" customWidth="1" bestFit="1" width="10.0" style="5"/>
    <col min="12819" max="12819" customWidth="1" bestFit="1" width="10.0" style="5"/>
    <col min="12820" max="12820" customWidth="1" bestFit="1" width="10.0" style="5"/>
    <col min="12821" max="12821" customWidth="1" bestFit="1" width="10.0" style="5"/>
    <col min="12822" max="12822" customWidth="1" bestFit="1" width="10.0" style="5"/>
    <col min="12823" max="12823" customWidth="1" bestFit="1" width="10.0" style="5"/>
    <col min="12824" max="12824" customWidth="1" bestFit="1" width="10.0" style="5"/>
    <col min="12825" max="12825" customWidth="1" bestFit="1" width="10.0" style="5"/>
    <col min="12826" max="12826" customWidth="1" bestFit="1" width="10.0" style="5"/>
    <col min="12827" max="12827" customWidth="1" bestFit="1" width="10.0" style="5"/>
    <col min="12828" max="12828" customWidth="1" bestFit="1" width="10.0" style="5"/>
    <col min="12829" max="12829" customWidth="1" bestFit="1" width="10.0" style="5"/>
    <col min="12830" max="12830" customWidth="1" bestFit="1" width="10.0" style="5"/>
    <col min="12831" max="12831" customWidth="1" bestFit="1" width="10.0" style="5"/>
    <col min="12832" max="12832" customWidth="1" bestFit="1" width="10.0" style="5"/>
    <col min="12833" max="12833" customWidth="1" bestFit="1" width="10.0" style="5"/>
    <col min="12834" max="12834" customWidth="1" bestFit="1" width="10.0" style="5"/>
    <col min="12835" max="12835" customWidth="1" bestFit="1" width="10.0" style="5"/>
    <col min="12836" max="12836" customWidth="1" bestFit="1" width="10.0" style="5"/>
    <col min="12837" max="12837" customWidth="1" bestFit="1" width="10.0" style="5"/>
    <col min="12838" max="12838" customWidth="1" bestFit="1" width="10.0" style="5"/>
    <col min="12839" max="12839" customWidth="1" bestFit="1" width="10.0" style="5"/>
    <col min="12840" max="12840" customWidth="1" bestFit="1" width="10.0" style="5"/>
    <col min="12841" max="12841" customWidth="1" bestFit="1" width="10.0" style="5"/>
    <col min="12842" max="12842" customWidth="1" bestFit="1" width="10.0" style="5"/>
    <col min="12843" max="12843" customWidth="1" bestFit="1" width="10.0" style="5"/>
    <col min="12844" max="12844" customWidth="1" bestFit="1" width="10.0" style="5"/>
    <col min="12845" max="12845" customWidth="1" bestFit="1" width="10.0" style="5"/>
    <col min="12846" max="12846" customWidth="1" bestFit="1" width="10.0" style="5"/>
    <col min="12847" max="12847" customWidth="1" bestFit="1" width="10.0" style="5"/>
    <col min="12848" max="12848" customWidth="1" bestFit="1" width="10.0" style="5"/>
    <col min="12849" max="12849" customWidth="1" bestFit="1" width="10.0" style="5"/>
    <col min="12850" max="12850" customWidth="1" bestFit="1" width="10.0" style="5"/>
    <col min="12851" max="12851" customWidth="1" bestFit="1" width="10.0" style="5"/>
    <col min="12852" max="12852" customWidth="1" bestFit="1" width="10.0" style="5"/>
    <col min="12853" max="12853" customWidth="1" bestFit="1" width="10.0" style="5"/>
    <col min="12854" max="12854" customWidth="1" bestFit="1" width="10.0" style="5"/>
    <col min="12855" max="12855" customWidth="1" bestFit="1" width="10.0" style="5"/>
    <col min="12856" max="12856" customWidth="1" bestFit="1" width="10.0" style="5"/>
    <col min="12857" max="12857" customWidth="1" bestFit="1" width="10.0" style="5"/>
    <col min="12858" max="12858" customWidth="1" bestFit="1" width="10.0" style="5"/>
    <col min="12859" max="12859" customWidth="1" bestFit="1" width="10.0" style="5"/>
    <col min="12860" max="12860" customWidth="1" bestFit="1" width="10.0" style="5"/>
    <col min="12861" max="12861" customWidth="1" bestFit="1" width="10.0" style="5"/>
    <col min="12862" max="12862" customWidth="1" bestFit="1" width="10.0" style="5"/>
    <col min="12863" max="12863" customWidth="1" bestFit="1" width="10.0" style="5"/>
    <col min="12864" max="12864" customWidth="1" bestFit="1" width="10.0" style="5"/>
    <col min="12865" max="12865" customWidth="1" bestFit="1" width="10.0" style="5"/>
    <col min="12866" max="12866" customWidth="1" bestFit="1" width="10.0" style="5"/>
    <col min="12867" max="12867" customWidth="1" bestFit="1" width="10.0" style="5"/>
    <col min="12868" max="12868" customWidth="1" bestFit="1" width="10.0" style="5"/>
    <col min="12869" max="12869" customWidth="1" bestFit="1" width="10.0" style="5"/>
    <col min="12870" max="12870" customWidth="1" bestFit="1" width="10.0" style="5"/>
    <col min="12871" max="12871" customWidth="1" bestFit="1" width="10.0" style="5"/>
    <col min="12872" max="12872" customWidth="1" bestFit="1" width="10.0" style="5"/>
    <col min="12873" max="12873" customWidth="1" bestFit="1" width="10.0" style="5"/>
    <col min="12874" max="12874" customWidth="1" bestFit="1" width="10.0" style="5"/>
    <col min="12875" max="12875" customWidth="1" bestFit="1" width="10.0" style="5"/>
    <col min="12876" max="12876" customWidth="1" bestFit="1" width="10.0" style="5"/>
    <col min="12877" max="12877" customWidth="1" bestFit="1" width="10.0" style="5"/>
    <col min="12878" max="12878" customWidth="1" bestFit="1" width="10.0" style="5"/>
    <col min="12879" max="12879" customWidth="1" bestFit="1" width="10.0" style="5"/>
    <col min="12880" max="12880" customWidth="1" bestFit="1" width="10.0" style="5"/>
    <col min="12881" max="12881" customWidth="1" bestFit="1" width="10.0" style="5"/>
    <col min="12882" max="12882" customWidth="1" bestFit="1" width="10.0" style="5"/>
    <col min="12883" max="12883" customWidth="1" bestFit="1" width="10.0" style="5"/>
    <col min="12884" max="12884" customWidth="1" bestFit="1" width="10.0" style="5"/>
    <col min="12885" max="12885" customWidth="1" bestFit="1" width="10.0" style="5"/>
    <col min="12886" max="12886" customWidth="1" bestFit="1" width="10.0" style="5"/>
    <col min="12887" max="12887" customWidth="1" bestFit="1" width="10.0" style="5"/>
    <col min="12888" max="12888" customWidth="1" bestFit="1" width="10.0" style="5"/>
    <col min="12889" max="12889" customWidth="1" bestFit="1" width="10.0" style="5"/>
    <col min="12890" max="12890" customWidth="1" bestFit="1" width="10.0" style="5"/>
    <col min="12891" max="12891" customWidth="1" bestFit="1" width="10.0" style="5"/>
    <col min="12892" max="12892" customWidth="1" bestFit="1" width="10.0" style="5"/>
    <col min="12893" max="12893" customWidth="1" bestFit="1" width="10.0" style="5"/>
    <col min="12894" max="12894" customWidth="1" bestFit="1" width="10.0" style="5"/>
    <col min="12895" max="12895" customWidth="1" bestFit="1" width="10.0" style="5"/>
    <col min="12896" max="12896" customWidth="1" bestFit="1" width="10.0" style="5"/>
    <col min="12897" max="12897" customWidth="1" bestFit="1" width="10.0" style="5"/>
    <col min="12898" max="12898" customWidth="1" bestFit="1" width="10.0" style="5"/>
    <col min="12899" max="12899" customWidth="1" bestFit="1" width="10.0" style="5"/>
    <col min="12900" max="12900" customWidth="1" bestFit="1" width="10.0" style="5"/>
    <col min="12901" max="12901" customWidth="1" bestFit="1" width="10.0" style="5"/>
    <col min="12902" max="12902" customWidth="1" bestFit="1" width="10.0" style="5"/>
    <col min="12903" max="12903" customWidth="1" bestFit="1" width="10.0" style="5"/>
    <col min="12904" max="12904" customWidth="1" bestFit="1" width="10.0" style="5"/>
    <col min="12905" max="12905" customWidth="1" bestFit="1" width="10.0" style="5"/>
    <col min="12906" max="12906" customWidth="1" bestFit="1" width="10.0" style="5"/>
    <col min="12907" max="12907" customWidth="1" bestFit="1" width="10.0" style="5"/>
    <col min="12908" max="12908" customWidth="1" bestFit="1" width="10.0" style="5"/>
    <col min="12909" max="12909" customWidth="1" bestFit="1" width="10.0" style="5"/>
    <col min="12910" max="12910" customWidth="1" bestFit="1" width="10.0" style="5"/>
    <col min="12911" max="12911" customWidth="1" bestFit="1" width="10.0" style="5"/>
    <col min="12912" max="12912" customWidth="1" bestFit="1" width="10.0" style="5"/>
    <col min="12913" max="12913" customWidth="1" bestFit="1" width="10.0" style="5"/>
    <col min="12914" max="12914" customWidth="1" bestFit="1" width="10.0" style="5"/>
    <col min="12915" max="12915" customWidth="1" bestFit="1" width="10.0" style="5"/>
    <col min="12916" max="12916" customWidth="1" bestFit="1" width="10.0" style="5"/>
    <col min="12917" max="12917" customWidth="1" bestFit="1" width="10.0" style="5"/>
    <col min="12918" max="12918" customWidth="1" bestFit="1" width="10.0" style="5"/>
    <col min="12919" max="12919" customWidth="1" bestFit="1" width="10.0" style="5"/>
    <col min="12920" max="12920" customWidth="1" bestFit="1" width="10.0" style="5"/>
    <col min="12921" max="12921" customWidth="1" bestFit="1" width="10.0" style="5"/>
    <col min="12922" max="12922" customWidth="1" bestFit="1" width="10.0" style="5"/>
    <col min="12923" max="12923" customWidth="1" bestFit="1" width="10.0" style="5"/>
    <col min="12924" max="12924" customWidth="1" bestFit="1" width="10.0" style="5"/>
    <col min="12925" max="12925" customWidth="1" bestFit="1" width="10.0" style="5"/>
    <col min="12926" max="12926" customWidth="1" bestFit="1" width="10.0" style="5"/>
    <col min="12927" max="12927" customWidth="1" bestFit="1" width="10.0" style="5"/>
    <col min="12928" max="12928" customWidth="1" bestFit="1" width="10.0" style="5"/>
    <col min="12929" max="12929" customWidth="1" bestFit="1" width="10.0" style="5"/>
    <col min="12930" max="12930" customWidth="1" bestFit="1" width="10.0" style="5"/>
    <col min="12931" max="12931" customWidth="1" bestFit="1" width="10.0" style="5"/>
    <col min="12932" max="12932" customWidth="1" bestFit="1" width="10.0" style="5"/>
    <col min="12933" max="12933" customWidth="1" bestFit="1" width="10.0" style="5"/>
    <col min="12934" max="12934" customWidth="1" bestFit="1" width="10.0" style="5"/>
    <col min="12935" max="12935" customWidth="1" bestFit="1" width="10.0" style="5"/>
    <col min="12936" max="12936" customWidth="1" bestFit="1" width="10.0" style="5"/>
    <col min="12937" max="12937" customWidth="1" bestFit="1" width="10.0" style="5"/>
    <col min="12938" max="12938" customWidth="1" bestFit="1" width="10.0" style="5"/>
    <col min="12939" max="12939" customWidth="1" bestFit="1" width="10.0" style="5"/>
    <col min="12940" max="12940" customWidth="1" bestFit="1" width="10.0" style="5"/>
    <col min="12941" max="12941" customWidth="1" bestFit="1" width="10.0" style="5"/>
    <col min="12942" max="12942" customWidth="1" bestFit="1" width="10.0" style="5"/>
    <col min="12943" max="12943" customWidth="1" bestFit="1" width="10.0" style="5"/>
    <col min="12944" max="12944" customWidth="1" bestFit="1" width="10.0" style="5"/>
    <col min="12945" max="12945" customWidth="1" bestFit="1" width="10.0" style="5"/>
    <col min="12946" max="12946" customWidth="1" bestFit="1" width="10.0" style="5"/>
    <col min="12947" max="12947" customWidth="1" bestFit="1" width="10.0" style="5"/>
    <col min="12948" max="12948" customWidth="1" bestFit="1" width="10.0" style="5"/>
    <col min="12949" max="12949" customWidth="1" bestFit="1" width="10.0" style="5"/>
    <col min="12950" max="12950" customWidth="1" bestFit="1" width="10.0" style="5"/>
    <col min="12951" max="12951" customWidth="1" bestFit="1" width="10.0" style="5"/>
    <col min="12952" max="12952" customWidth="1" bestFit="1" width="10.0" style="5"/>
    <col min="12953" max="12953" customWidth="1" bestFit="1" width="10.0" style="5"/>
    <col min="12954" max="12954" customWidth="1" bestFit="1" width="10.0" style="5"/>
    <col min="12955" max="12955" customWidth="1" bestFit="1" width="10.0" style="5"/>
    <col min="12956" max="12956" customWidth="1" bestFit="1" width="10.0" style="5"/>
    <col min="12957" max="12957" customWidth="1" bestFit="1" width="10.0" style="5"/>
    <col min="12958" max="12958" customWidth="1" bestFit="1" width="10.0" style="5"/>
    <col min="12959" max="12959" customWidth="1" bestFit="1" width="10.0" style="5"/>
    <col min="12960" max="12960" customWidth="1" bestFit="1" width="10.0" style="5"/>
    <col min="12961" max="12961" customWidth="1" bestFit="1" width="10.0" style="5"/>
    <col min="12962" max="12962" customWidth="1" bestFit="1" width="10.0" style="5"/>
    <col min="12963" max="12963" customWidth="1" bestFit="1" width="10.0" style="5"/>
    <col min="12964" max="12964" customWidth="1" bestFit="1" width="10.0" style="5"/>
    <col min="12965" max="12965" customWidth="1" bestFit="1" width="10.0" style="5"/>
    <col min="12966" max="12966" customWidth="1" bestFit="1" width="10.0" style="5"/>
    <col min="12967" max="12967" customWidth="1" bestFit="1" width="10.0" style="5"/>
    <col min="12968" max="12968" customWidth="1" bestFit="1" width="10.0" style="5"/>
    <col min="12969" max="12969" customWidth="1" bestFit="1" width="10.0" style="5"/>
    <col min="12970" max="12970" customWidth="1" bestFit="1" width="10.0" style="5"/>
    <col min="12971" max="12971" customWidth="1" bestFit="1" width="10.0" style="5"/>
    <col min="12972" max="12972" customWidth="1" bestFit="1" width="10.0" style="5"/>
    <col min="12973" max="12973" customWidth="1" bestFit="1" width="10.0" style="5"/>
    <col min="12974" max="12974" customWidth="1" bestFit="1" width="10.0" style="5"/>
    <col min="12975" max="12975" customWidth="1" bestFit="1" width="10.0" style="5"/>
    <col min="12976" max="12976" customWidth="1" bestFit="1" width="10.0" style="5"/>
    <col min="12977" max="12977" customWidth="1" bestFit="1" width="10.0" style="5"/>
    <col min="12978" max="12978" customWidth="1" bestFit="1" width="10.0" style="5"/>
    <col min="12979" max="12979" customWidth="1" bestFit="1" width="10.0" style="5"/>
    <col min="12980" max="12980" customWidth="1" bestFit="1" width="10.0" style="5"/>
    <col min="12981" max="12981" customWidth="1" bestFit="1" width="10.0" style="5"/>
    <col min="12982" max="12982" customWidth="1" bestFit="1" width="10.0" style="5"/>
    <col min="12983" max="12983" customWidth="1" bestFit="1" width="10.0" style="5"/>
    <col min="12984" max="12984" customWidth="1" bestFit="1" width="10.0" style="5"/>
    <col min="12985" max="12985" customWidth="1" bestFit="1" width="10.0" style="5"/>
    <col min="12986" max="12986" customWidth="1" bestFit="1" width="10.0" style="5"/>
    <col min="12987" max="12987" customWidth="1" bestFit="1" width="10.0" style="5"/>
    <col min="12988" max="12988" customWidth="1" bestFit="1" width="10.0" style="5"/>
    <col min="12989" max="12989" customWidth="1" bestFit="1" width="10.0" style="5"/>
    <col min="12990" max="12990" customWidth="1" bestFit="1" width="10.0" style="5"/>
    <col min="12991" max="12991" customWidth="1" bestFit="1" width="10.0" style="5"/>
    <col min="12992" max="12992" customWidth="1" bestFit="1" width="10.0" style="5"/>
    <col min="12993" max="12993" customWidth="1" bestFit="1" width="10.0" style="5"/>
    <col min="12994" max="12994" customWidth="1" bestFit="1" width="10.0" style="5"/>
    <col min="12995" max="12995" customWidth="1" bestFit="1" width="10.0" style="5"/>
    <col min="12996" max="12996" customWidth="1" bestFit="1" width="10.0" style="5"/>
    <col min="12997" max="12997" customWidth="1" bestFit="1" width="10.0" style="5"/>
    <col min="12998" max="12998" customWidth="1" bestFit="1" width="10.0" style="5"/>
    <col min="12999" max="12999" customWidth="1" bestFit="1" width="10.0" style="5"/>
    <col min="13000" max="13000" customWidth="1" bestFit="1" width="10.0" style="5"/>
    <col min="13001" max="13001" customWidth="1" bestFit="1" width="10.0" style="5"/>
    <col min="13002" max="13002" customWidth="1" bestFit="1" width="10.0" style="5"/>
    <col min="13003" max="13003" customWidth="1" bestFit="1" width="10.0" style="5"/>
    <col min="13004" max="13004" customWidth="1" bestFit="1" width="10.0" style="5"/>
    <col min="13005" max="13005" customWidth="1" bestFit="1" width="10.0" style="5"/>
    <col min="13006" max="13006" customWidth="1" bestFit="1" width="10.0" style="5"/>
    <col min="13007" max="13007" customWidth="1" bestFit="1" width="10.0" style="5"/>
    <col min="13008" max="13008" customWidth="1" bestFit="1" width="10.0" style="5"/>
    <col min="13009" max="13009" customWidth="1" bestFit="1" width="10.0" style="5"/>
    <col min="13010" max="13010" customWidth="1" bestFit="1" width="10.0" style="5"/>
    <col min="13011" max="13011" customWidth="1" bestFit="1" width="10.0" style="5"/>
    <col min="13012" max="13012" customWidth="1" bestFit="1" width="10.0" style="5"/>
    <col min="13013" max="13013" customWidth="1" bestFit="1" width="10.0" style="5"/>
    <col min="13014" max="13014" customWidth="1" bestFit="1" width="10.0" style="5"/>
    <col min="13015" max="13015" customWidth="1" bestFit="1" width="10.0" style="5"/>
    <col min="13016" max="13016" customWidth="1" bestFit="1" width="10.0" style="5"/>
    <col min="13017" max="13017" customWidth="1" bestFit="1" width="10.0" style="5"/>
    <col min="13018" max="13018" customWidth="1" bestFit="1" width="10.0" style="5"/>
    <col min="13019" max="13019" customWidth="1" bestFit="1" width="10.0" style="5"/>
    <col min="13020" max="13020" customWidth="1" bestFit="1" width="10.0" style="5"/>
    <col min="13021" max="13021" customWidth="1" bestFit="1" width="10.0" style="5"/>
    <col min="13022" max="13022" customWidth="1" bestFit="1" width="10.0" style="5"/>
    <col min="13023" max="13023" customWidth="1" bestFit="1" width="10.0" style="5"/>
    <col min="13024" max="13024" customWidth="1" bestFit="1" width="10.0" style="5"/>
    <col min="13025" max="13025" customWidth="1" bestFit="1" width="10.0" style="5"/>
    <col min="13026" max="13026" customWidth="1" bestFit="1" width="10.0" style="5"/>
    <col min="13027" max="13027" customWidth="1" bestFit="1" width="10.0" style="5"/>
    <col min="13028" max="13028" customWidth="1" bestFit="1" width="10.0" style="5"/>
    <col min="13029" max="13029" customWidth="1" bestFit="1" width="10.0" style="5"/>
    <col min="13030" max="13030" customWidth="1" bestFit="1" width="10.0" style="5"/>
    <col min="13031" max="13031" customWidth="1" bestFit="1" width="10.0" style="5"/>
    <col min="13032" max="13032" customWidth="1" bestFit="1" width="10.0" style="5"/>
    <col min="13033" max="13033" customWidth="1" bestFit="1" width="10.0" style="5"/>
    <col min="13034" max="13034" customWidth="1" bestFit="1" width="10.0" style="5"/>
    <col min="13035" max="13035" customWidth="1" bestFit="1" width="10.0" style="5"/>
    <col min="13036" max="13036" customWidth="1" bestFit="1" width="10.0" style="5"/>
    <col min="13037" max="13037" customWidth="1" bestFit="1" width="10.0" style="5"/>
    <col min="13038" max="13038" customWidth="1" bestFit="1" width="10.0" style="5"/>
    <col min="13039" max="13039" customWidth="1" bestFit="1" width="10.0" style="5"/>
    <col min="13040" max="13040" customWidth="1" bestFit="1" width="10.0" style="5"/>
    <col min="13041" max="13041" customWidth="1" bestFit="1" width="10.0" style="5"/>
    <col min="13042" max="13042" customWidth="1" bestFit="1" width="10.0" style="5"/>
    <col min="13043" max="13043" customWidth="1" bestFit="1" width="10.0" style="5"/>
    <col min="13044" max="13044" customWidth="1" bestFit="1" width="10.0" style="5"/>
    <col min="13045" max="13045" customWidth="1" bestFit="1" width="10.0" style="5"/>
    <col min="13046" max="13046" customWidth="1" bestFit="1" width="10.0" style="5"/>
    <col min="13047" max="13047" customWidth="1" bestFit="1" width="10.0" style="5"/>
    <col min="13048" max="13048" customWidth="1" bestFit="1" width="10.0" style="5"/>
    <col min="13049" max="13049" customWidth="1" bestFit="1" width="10.0" style="5"/>
    <col min="13050" max="13050" customWidth="1" bestFit="1" width="10.0" style="5"/>
    <col min="13051" max="13051" customWidth="1" bestFit="1" width="10.0" style="5"/>
    <col min="13052" max="13052" customWidth="1" bestFit="1" width="10.0" style="5"/>
    <col min="13053" max="13053" customWidth="1" bestFit="1" width="10.0" style="5"/>
    <col min="13054" max="13054" customWidth="1" bestFit="1" width="10.0" style="5"/>
    <col min="13055" max="13055" customWidth="1" bestFit="1" width="10.0" style="5"/>
    <col min="13056" max="13056" customWidth="1" bestFit="1" width="10.0" style="5"/>
    <col min="13057" max="13057" customWidth="1" bestFit="1" width="10.0" style="5"/>
    <col min="13058" max="13058" customWidth="1" bestFit="1" width="10.0" style="5"/>
    <col min="13059" max="13059" customWidth="1" bestFit="1" width="10.0" style="5"/>
    <col min="13060" max="13060" customWidth="1" bestFit="1" width="10.0" style="5"/>
    <col min="13061" max="13061" customWidth="1" bestFit="1" width="10.0" style="5"/>
    <col min="13062" max="13062" customWidth="1" bestFit="1" width="10.0" style="5"/>
    <col min="13063" max="13063" customWidth="1" bestFit="1" width="10.0" style="5"/>
    <col min="13064" max="13064" customWidth="1" bestFit="1" width="10.0" style="5"/>
    <col min="13065" max="13065" customWidth="1" bestFit="1" width="10.0" style="5"/>
    <col min="13066" max="13066" customWidth="1" bestFit="1" width="10.0" style="5"/>
    <col min="13067" max="13067" customWidth="1" bestFit="1" width="10.0" style="5"/>
    <col min="13068" max="13068" customWidth="1" bestFit="1" width="10.0" style="5"/>
    <col min="13069" max="13069" customWidth="1" bestFit="1" width="10.0" style="5"/>
    <col min="13070" max="13070" customWidth="1" bestFit="1" width="10.0" style="5"/>
    <col min="13071" max="13071" customWidth="1" bestFit="1" width="10.0" style="5"/>
    <col min="13072" max="13072" customWidth="1" bestFit="1" width="10.0" style="5"/>
    <col min="13073" max="13073" customWidth="1" bestFit="1" width="10.0" style="5"/>
    <col min="13074" max="13074" customWidth="1" bestFit="1" width="10.0" style="5"/>
    <col min="13075" max="13075" customWidth="1" bestFit="1" width="10.0" style="5"/>
    <col min="13076" max="13076" customWidth="1" bestFit="1" width="10.0" style="5"/>
    <col min="13077" max="13077" customWidth="1" bestFit="1" width="10.0" style="5"/>
    <col min="13078" max="13078" customWidth="1" bestFit="1" width="10.0" style="5"/>
    <col min="13079" max="13079" customWidth="1" bestFit="1" width="10.0" style="5"/>
    <col min="13080" max="13080" customWidth="1" bestFit="1" width="10.0" style="5"/>
    <col min="13081" max="13081" customWidth="1" bestFit="1" width="10.0" style="5"/>
    <col min="13082" max="13082" customWidth="1" bestFit="1" width="10.0" style="5"/>
    <col min="13083" max="13083" customWidth="1" bestFit="1" width="10.0" style="5"/>
    <col min="13084" max="13084" customWidth="1" bestFit="1" width="10.0" style="5"/>
    <col min="13085" max="13085" customWidth="1" bestFit="1" width="10.0" style="5"/>
    <col min="13086" max="13086" customWidth="1" bestFit="1" width="10.0" style="5"/>
    <col min="13087" max="13087" customWidth="1" bestFit="1" width="10.0" style="5"/>
    <col min="13088" max="13088" customWidth="1" bestFit="1" width="10.0" style="5"/>
    <col min="13089" max="13089" customWidth="1" bestFit="1" width="10.0" style="5"/>
    <col min="13090" max="13090" customWidth="1" bestFit="1" width="10.0" style="5"/>
    <col min="13091" max="13091" customWidth="1" bestFit="1" width="10.0" style="5"/>
    <col min="13092" max="13092" customWidth="1" bestFit="1" width="10.0" style="5"/>
    <col min="13093" max="13093" customWidth="1" bestFit="1" width="10.0" style="5"/>
    <col min="13094" max="13094" customWidth="1" bestFit="1" width="10.0" style="5"/>
    <col min="13095" max="13095" customWidth="1" bestFit="1" width="10.0" style="5"/>
    <col min="13096" max="13096" customWidth="1" bestFit="1" width="10.0" style="5"/>
    <col min="13097" max="13097" customWidth="1" bestFit="1" width="10.0" style="5"/>
    <col min="13098" max="13098" customWidth="1" bestFit="1" width="10.0" style="5"/>
    <col min="13099" max="13099" customWidth="1" bestFit="1" width="10.0" style="5"/>
    <col min="13100" max="13100" customWidth="1" bestFit="1" width="10.0" style="5"/>
    <col min="13101" max="13101" customWidth="1" bestFit="1" width="10.0" style="5"/>
    <col min="13102" max="13102" customWidth="1" bestFit="1" width="10.0" style="5"/>
    <col min="13103" max="13103" customWidth="1" bestFit="1" width="10.0" style="5"/>
    <col min="13104" max="13104" customWidth="1" bestFit="1" width="10.0" style="5"/>
    <col min="13105" max="13105" customWidth="1" bestFit="1" width="10.0" style="5"/>
    <col min="13106" max="13106" customWidth="1" bestFit="1" width="10.0" style="5"/>
    <col min="13107" max="13107" customWidth="1" bestFit="1" width="10.0" style="5"/>
    <col min="13108" max="13108" customWidth="1" bestFit="1" width="10.0" style="5"/>
    <col min="13109" max="13109" customWidth="1" bestFit="1" width="10.0" style="5"/>
    <col min="13110" max="13110" customWidth="1" bestFit="1" width="10.0" style="5"/>
    <col min="13111" max="13111" customWidth="1" bestFit="1" width="10.0" style="5"/>
    <col min="13112" max="13112" customWidth="1" bestFit="1" width="10.0" style="5"/>
    <col min="13113" max="13113" customWidth="1" bestFit="1" width="10.0" style="5"/>
    <col min="13114" max="13114" customWidth="1" bestFit="1" width="10.0" style="5"/>
    <col min="13115" max="13115" customWidth="1" bestFit="1" width="10.0" style="5"/>
    <col min="13116" max="13116" customWidth="1" bestFit="1" width="10.0" style="5"/>
    <col min="13117" max="13117" customWidth="1" bestFit="1" width="10.0" style="5"/>
    <col min="13118" max="13118" customWidth="1" bestFit="1" width="10.0" style="5"/>
    <col min="13119" max="13119" customWidth="1" bestFit="1" width="10.0" style="5"/>
    <col min="13120" max="13120" customWidth="1" bestFit="1" width="10.0" style="5"/>
    <col min="13121" max="13121" customWidth="1" bestFit="1" width="10.0" style="5"/>
    <col min="13122" max="13122" customWidth="1" bestFit="1" width="10.0" style="5"/>
    <col min="13123" max="13123" customWidth="1" bestFit="1" width="10.0" style="5"/>
    <col min="13124" max="13124" customWidth="1" bestFit="1" width="10.0" style="5"/>
    <col min="13125" max="13125" customWidth="1" bestFit="1" width="10.0" style="5"/>
    <col min="13126" max="13126" customWidth="1" bestFit="1" width="10.0" style="5"/>
    <col min="13127" max="13127" customWidth="1" bestFit="1" width="10.0" style="5"/>
    <col min="13128" max="13128" customWidth="1" bestFit="1" width="10.0" style="5"/>
    <col min="13129" max="13129" customWidth="1" bestFit="1" width="10.0" style="5"/>
    <col min="13130" max="13130" customWidth="1" bestFit="1" width="10.0" style="5"/>
    <col min="13131" max="13131" customWidth="1" bestFit="1" width="10.0" style="5"/>
    <col min="13132" max="13132" customWidth="1" bestFit="1" width="10.0" style="5"/>
    <col min="13133" max="13133" customWidth="1" bestFit="1" width="10.0" style="5"/>
    <col min="13134" max="13134" customWidth="1" bestFit="1" width="10.0" style="5"/>
    <col min="13135" max="13135" customWidth="1" bestFit="1" width="10.0" style="5"/>
    <col min="13136" max="13136" customWidth="1" bestFit="1" width="10.0" style="5"/>
    <col min="13137" max="13137" customWidth="1" bestFit="1" width="10.0" style="5"/>
    <col min="13138" max="13138" customWidth="1" bestFit="1" width="10.0" style="5"/>
    <col min="13139" max="13139" customWidth="1" bestFit="1" width="10.0" style="5"/>
    <col min="13140" max="13140" customWidth="1" bestFit="1" width="10.0" style="5"/>
    <col min="13141" max="13141" customWidth="1" bestFit="1" width="10.0" style="5"/>
    <col min="13142" max="13142" customWidth="1" bestFit="1" width="10.0" style="5"/>
    <col min="13143" max="13143" customWidth="1" bestFit="1" width="10.0" style="5"/>
    <col min="13144" max="13144" customWidth="1" bestFit="1" width="10.0" style="5"/>
    <col min="13145" max="13145" customWidth="1" bestFit="1" width="10.0" style="5"/>
    <col min="13146" max="13146" customWidth="1" bestFit="1" width="10.0" style="5"/>
    <col min="13147" max="13147" customWidth="1" bestFit="1" width="10.0" style="5"/>
    <col min="13148" max="13148" customWidth="1" bestFit="1" width="10.0" style="5"/>
    <col min="13149" max="13149" customWidth="1" bestFit="1" width="10.0" style="5"/>
    <col min="13150" max="13150" customWidth="1" bestFit="1" width="10.0" style="5"/>
    <col min="13151" max="13151" customWidth="1" bestFit="1" width="10.0" style="5"/>
    <col min="13152" max="13152" customWidth="1" bestFit="1" width="10.0" style="5"/>
    <col min="13153" max="13153" customWidth="1" bestFit="1" width="10.0" style="5"/>
    <col min="13154" max="13154" customWidth="1" bestFit="1" width="10.0" style="5"/>
    <col min="13155" max="13155" customWidth="1" bestFit="1" width="10.0" style="5"/>
    <col min="13156" max="13156" customWidth="1" bestFit="1" width="10.0" style="5"/>
    <col min="13157" max="13157" customWidth="1" bestFit="1" width="10.0" style="5"/>
    <col min="13158" max="13158" customWidth="1" bestFit="1" width="10.0" style="5"/>
    <col min="13159" max="13159" customWidth="1" bestFit="1" width="10.0" style="5"/>
    <col min="13160" max="13160" customWidth="1" bestFit="1" width="10.0" style="5"/>
    <col min="13161" max="13161" customWidth="1" bestFit="1" width="10.0" style="5"/>
    <col min="13162" max="13162" customWidth="1" bestFit="1" width="10.0" style="5"/>
    <col min="13163" max="13163" customWidth="1" bestFit="1" width="10.0" style="5"/>
    <col min="13164" max="13164" customWidth="1" bestFit="1" width="10.0" style="5"/>
    <col min="13165" max="13165" customWidth="1" bestFit="1" width="10.0" style="5"/>
    <col min="13166" max="13166" customWidth="1" bestFit="1" width="10.0" style="5"/>
    <col min="13167" max="13167" customWidth="1" bestFit="1" width="10.0" style="5"/>
    <col min="13168" max="13168" customWidth="1" bestFit="1" width="10.0" style="5"/>
    <col min="13169" max="13169" customWidth="1" bestFit="1" width="10.0" style="5"/>
    <col min="13170" max="13170" customWidth="1" bestFit="1" width="10.0" style="5"/>
    <col min="13171" max="13171" customWidth="1" bestFit="1" width="10.0" style="5"/>
    <col min="13172" max="13172" customWidth="1" bestFit="1" width="10.0" style="5"/>
    <col min="13173" max="13173" customWidth="1" bestFit="1" width="10.0" style="5"/>
    <col min="13174" max="13174" customWidth="1" bestFit="1" width="10.0" style="5"/>
    <col min="13175" max="13175" customWidth="1" bestFit="1" width="10.0" style="5"/>
    <col min="13176" max="13176" customWidth="1" bestFit="1" width="10.0" style="5"/>
    <col min="13177" max="13177" customWidth="1" bestFit="1" width="10.0" style="5"/>
    <col min="13178" max="13178" customWidth="1" bestFit="1" width="10.0" style="5"/>
    <col min="13179" max="13179" customWidth="1" bestFit="1" width="10.0" style="5"/>
    <col min="13180" max="13180" customWidth="1" bestFit="1" width="10.0" style="5"/>
    <col min="13181" max="13181" customWidth="1" bestFit="1" width="10.0" style="5"/>
    <col min="13182" max="13182" customWidth="1" bestFit="1" width="10.0" style="5"/>
    <col min="13183" max="13183" customWidth="1" bestFit="1" width="10.0" style="5"/>
    <col min="13184" max="13184" customWidth="1" bestFit="1" width="10.0" style="5"/>
    <col min="13185" max="13185" customWidth="1" bestFit="1" width="10.0" style="5"/>
    <col min="13186" max="13186" customWidth="1" bestFit="1" width="10.0" style="5"/>
    <col min="13187" max="13187" customWidth="1" bestFit="1" width="10.0" style="5"/>
    <col min="13188" max="13188" customWidth="1" bestFit="1" width="10.0" style="5"/>
    <col min="13189" max="13189" customWidth="1" bestFit="1" width="10.0" style="5"/>
    <col min="13190" max="13190" customWidth="1" bestFit="1" width="10.0" style="5"/>
    <col min="13191" max="13191" customWidth="1" bestFit="1" width="10.0" style="5"/>
    <col min="13192" max="13192" customWidth="1" bestFit="1" width="10.0" style="5"/>
    <col min="13193" max="13193" customWidth="1" bestFit="1" width="10.0" style="5"/>
    <col min="13194" max="13194" customWidth="1" bestFit="1" width="10.0" style="5"/>
    <col min="13195" max="13195" customWidth="1" bestFit="1" width="10.0" style="5"/>
    <col min="13196" max="13196" customWidth="1" bestFit="1" width="10.0" style="5"/>
    <col min="13197" max="13197" customWidth="1" bestFit="1" width="10.0" style="5"/>
    <col min="13198" max="13198" customWidth="1" bestFit="1" width="10.0" style="5"/>
    <col min="13199" max="13199" customWidth="1" bestFit="1" width="10.0" style="5"/>
    <col min="13200" max="13200" customWidth="1" bestFit="1" width="10.0" style="5"/>
    <col min="13201" max="13201" customWidth="1" bestFit="1" width="10.0" style="5"/>
    <col min="13202" max="13202" customWidth="1" bestFit="1" width="10.0" style="5"/>
    <col min="13203" max="13203" customWidth="1" bestFit="1" width="10.0" style="5"/>
    <col min="13204" max="13204" customWidth="1" bestFit="1" width="10.0" style="5"/>
    <col min="13205" max="13205" customWidth="1" bestFit="1" width="10.0" style="5"/>
    <col min="13206" max="13206" customWidth="1" bestFit="1" width="10.0" style="5"/>
    <col min="13207" max="13207" customWidth="1" bestFit="1" width="10.0" style="5"/>
    <col min="13208" max="13208" customWidth="1" bestFit="1" width="10.0" style="5"/>
    <col min="13209" max="13209" customWidth="1" bestFit="1" width="10.0" style="5"/>
    <col min="13210" max="13210" customWidth="1" bestFit="1" width="10.0" style="5"/>
    <col min="13211" max="13211" customWidth="1" bestFit="1" width="10.0" style="5"/>
    <col min="13212" max="13212" customWidth="1" bestFit="1" width="10.0" style="5"/>
    <col min="13213" max="13213" customWidth="1" bestFit="1" width="10.0" style="5"/>
    <col min="13214" max="13214" customWidth="1" bestFit="1" width="10.0" style="5"/>
    <col min="13215" max="13215" customWidth="1" bestFit="1" width="10.0" style="5"/>
    <col min="13216" max="13216" customWidth="1" bestFit="1" width="10.0" style="5"/>
    <col min="13217" max="13217" customWidth="1" bestFit="1" width="10.0" style="5"/>
    <col min="13218" max="13218" customWidth="1" bestFit="1" width="10.0" style="5"/>
    <col min="13219" max="13219" customWidth="1" bestFit="1" width="10.0" style="5"/>
    <col min="13220" max="13220" customWidth="1" bestFit="1" width="10.0" style="5"/>
    <col min="13221" max="13221" customWidth="1" bestFit="1" width="10.0" style="5"/>
    <col min="13222" max="13222" customWidth="1" bestFit="1" width="10.0" style="5"/>
    <col min="13223" max="13223" customWidth="1" bestFit="1" width="10.0" style="5"/>
    <col min="13224" max="13224" customWidth="1" bestFit="1" width="10.0" style="5"/>
    <col min="13225" max="13225" customWidth="1" bestFit="1" width="10.0" style="5"/>
    <col min="13226" max="13226" customWidth="1" bestFit="1" width="10.0" style="5"/>
    <col min="13227" max="13227" customWidth="1" bestFit="1" width="10.0" style="5"/>
    <col min="13228" max="13228" customWidth="1" bestFit="1" width="10.0" style="5"/>
    <col min="13229" max="13229" customWidth="1" bestFit="1" width="10.0" style="5"/>
    <col min="13230" max="13230" customWidth="1" bestFit="1" width="10.0" style="5"/>
    <col min="13231" max="13231" customWidth="1" bestFit="1" width="10.0" style="5"/>
    <col min="13232" max="13232" customWidth="1" bestFit="1" width="10.0" style="5"/>
    <col min="13233" max="13233" customWidth="1" bestFit="1" width="10.0" style="5"/>
    <col min="13234" max="13234" customWidth="1" bestFit="1" width="10.0" style="5"/>
    <col min="13235" max="13235" customWidth="1" bestFit="1" width="10.0" style="5"/>
    <col min="13236" max="13236" customWidth="1" bestFit="1" width="10.0" style="5"/>
    <col min="13237" max="13237" customWidth="1" bestFit="1" width="10.0" style="5"/>
    <col min="13238" max="13238" customWidth="1" bestFit="1" width="10.0" style="5"/>
    <col min="13239" max="13239" customWidth="1" bestFit="1" width="10.0" style="5"/>
    <col min="13240" max="13240" customWidth="1" bestFit="1" width="10.0" style="5"/>
    <col min="13241" max="13241" customWidth="1" bestFit="1" width="10.0" style="5"/>
    <col min="13242" max="13242" customWidth="1" bestFit="1" width="10.0" style="5"/>
    <col min="13243" max="13243" customWidth="1" bestFit="1" width="10.0" style="5"/>
    <col min="13244" max="13244" customWidth="1" bestFit="1" width="10.0" style="5"/>
    <col min="13245" max="13245" customWidth="1" bestFit="1" width="10.0" style="5"/>
    <col min="13246" max="13246" customWidth="1" bestFit="1" width="10.0" style="5"/>
    <col min="13247" max="13247" customWidth="1" bestFit="1" width="10.0" style="5"/>
    <col min="13248" max="13248" customWidth="1" bestFit="1" width="10.0" style="5"/>
    <col min="13249" max="13249" customWidth="1" bestFit="1" width="10.0" style="5"/>
    <col min="13250" max="13250" customWidth="1" bestFit="1" width="10.0" style="5"/>
    <col min="13251" max="13251" customWidth="1" bestFit="1" width="10.0" style="5"/>
    <col min="13252" max="13252" customWidth="1" bestFit="1" width="10.0" style="5"/>
    <col min="13253" max="13253" customWidth="1" bestFit="1" width="10.0" style="5"/>
    <col min="13254" max="13254" customWidth="1" bestFit="1" width="10.0" style="5"/>
    <col min="13255" max="13255" customWidth="1" bestFit="1" width="10.0" style="5"/>
    <col min="13256" max="13256" customWidth="1" bestFit="1" width="10.0" style="5"/>
    <col min="13257" max="13257" customWidth="1" bestFit="1" width="10.0" style="5"/>
    <col min="13258" max="13258" customWidth="1" bestFit="1" width="10.0" style="5"/>
    <col min="13259" max="13259" customWidth="1" bestFit="1" width="10.0" style="5"/>
    <col min="13260" max="13260" customWidth="1" bestFit="1" width="10.0" style="5"/>
    <col min="13261" max="13261" customWidth="1" bestFit="1" width="10.0" style="5"/>
    <col min="13262" max="13262" customWidth="1" bestFit="1" width="10.0" style="5"/>
    <col min="13263" max="13263" customWidth="1" bestFit="1" width="10.0" style="5"/>
    <col min="13264" max="13264" customWidth="1" bestFit="1" width="10.0" style="5"/>
    <col min="13265" max="13265" customWidth="1" bestFit="1" width="10.0" style="5"/>
    <col min="13266" max="13266" customWidth="1" bestFit="1" width="10.0" style="5"/>
    <col min="13267" max="13267" customWidth="1" bestFit="1" width="10.0" style="5"/>
    <col min="13268" max="13268" customWidth="1" bestFit="1" width="10.0" style="5"/>
    <col min="13269" max="13269" customWidth="1" bestFit="1" width="10.0" style="5"/>
    <col min="13270" max="13270" customWidth="1" bestFit="1" width="10.0" style="5"/>
    <col min="13271" max="13271" customWidth="1" bestFit="1" width="10.0" style="5"/>
    <col min="13272" max="13272" customWidth="1" bestFit="1" width="10.0" style="5"/>
    <col min="13273" max="13273" customWidth="1" bestFit="1" width="10.0" style="5"/>
    <col min="13274" max="13274" customWidth="1" bestFit="1" width="10.0" style="5"/>
    <col min="13275" max="13275" customWidth="1" bestFit="1" width="10.0" style="5"/>
    <col min="13276" max="13276" customWidth="1" bestFit="1" width="10.0" style="5"/>
    <col min="13277" max="13277" customWidth="1" bestFit="1" width="10.0" style="5"/>
    <col min="13278" max="13278" customWidth="1" bestFit="1" width="10.0" style="5"/>
    <col min="13279" max="13279" customWidth="1" bestFit="1" width="10.0" style="5"/>
    <col min="13280" max="13280" customWidth="1" bestFit="1" width="10.0" style="5"/>
    <col min="13281" max="13281" customWidth="1" bestFit="1" width="10.0" style="5"/>
    <col min="13282" max="13282" customWidth="1" bestFit="1" width="10.0" style="5"/>
    <col min="13283" max="13283" customWidth="1" bestFit="1" width="10.0" style="5"/>
    <col min="13284" max="13284" customWidth="1" bestFit="1" width="10.0" style="5"/>
    <col min="13285" max="13285" customWidth="1" bestFit="1" width="10.0" style="5"/>
    <col min="13286" max="13286" customWidth="1" bestFit="1" width="10.0" style="5"/>
    <col min="13287" max="13287" customWidth="1" bestFit="1" width="10.0" style="5"/>
    <col min="13288" max="13288" customWidth="1" bestFit="1" width="10.0" style="5"/>
    <col min="13289" max="13289" customWidth="1" bestFit="1" width="10.0" style="5"/>
    <col min="13290" max="13290" customWidth="1" bestFit="1" width="10.0" style="5"/>
    <col min="13291" max="13291" customWidth="1" bestFit="1" width="10.0" style="5"/>
    <col min="13292" max="13292" customWidth="1" bestFit="1" width="10.0" style="5"/>
    <col min="13293" max="13293" customWidth="1" bestFit="1" width="10.0" style="5"/>
    <col min="13294" max="13294" customWidth="1" bestFit="1" width="10.0" style="5"/>
    <col min="13295" max="13295" customWidth="1" bestFit="1" width="10.0" style="5"/>
    <col min="13296" max="13296" customWidth="1" bestFit="1" width="10.0" style="5"/>
    <col min="13297" max="13297" customWidth="1" bestFit="1" width="10.0" style="5"/>
    <col min="13298" max="13298" customWidth="1" bestFit="1" width="10.0" style="5"/>
    <col min="13299" max="13299" customWidth="1" bestFit="1" width="10.0" style="5"/>
    <col min="13300" max="13300" customWidth="1" bestFit="1" width="10.0" style="5"/>
    <col min="13301" max="13301" customWidth="1" bestFit="1" width="10.0" style="5"/>
    <col min="13302" max="13302" customWidth="1" bestFit="1" width="10.0" style="5"/>
    <col min="13303" max="13303" customWidth="1" bestFit="1" width="10.0" style="5"/>
    <col min="13304" max="13304" customWidth="1" bestFit="1" width="10.0" style="5"/>
    <col min="13305" max="13305" customWidth="1" bestFit="1" width="10.0" style="5"/>
    <col min="13306" max="13306" customWidth="1" bestFit="1" width="10.0" style="5"/>
    <col min="13307" max="13307" customWidth="1" bestFit="1" width="10.0" style="5"/>
    <col min="13308" max="13308" customWidth="1" bestFit="1" width="10.0" style="5"/>
    <col min="13309" max="13309" customWidth="1" bestFit="1" width="10.0" style="5"/>
    <col min="13310" max="13310" customWidth="1" bestFit="1" width="10.0" style="5"/>
    <col min="13311" max="13311" customWidth="1" bestFit="1" width="10.0" style="5"/>
    <col min="13312" max="13312" customWidth="1" bestFit="1" width="10.0" style="5"/>
    <col min="13313" max="13313" customWidth="1" bestFit="1" width="10.0" style="5"/>
    <col min="13314" max="13314" customWidth="1" bestFit="1" width="10.0" style="5"/>
    <col min="13315" max="13315" customWidth="1" bestFit="1" width="10.0" style="5"/>
    <col min="13316" max="13316" customWidth="1" bestFit="1" width="10.0" style="5"/>
    <col min="13317" max="13317" customWidth="1" bestFit="1" width="10.0" style="5"/>
    <col min="13318" max="13318" customWidth="1" bestFit="1" width="10.0" style="5"/>
    <col min="13319" max="13319" customWidth="1" bestFit="1" width="10.0" style="5"/>
    <col min="13320" max="13320" customWidth="1" bestFit="1" width="10.0" style="5"/>
    <col min="13321" max="13321" customWidth="1" bestFit="1" width="10.0" style="5"/>
    <col min="13322" max="13322" customWidth="1" bestFit="1" width="10.0" style="5"/>
    <col min="13323" max="13323" customWidth="1" bestFit="1" width="10.0" style="5"/>
    <col min="13324" max="13324" customWidth="1" bestFit="1" width="10.0" style="5"/>
    <col min="13325" max="13325" customWidth="1" bestFit="1" width="10.0" style="5"/>
    <col min="13326" max="13326" customWidth="1" bestFit="1" width="10.0" style="5"/>
    <col min="13327" max="13327" customWidth="1" bestFit="1" width="10.0" style="5"/>
    <col min="13328" max="13328" customWidth="1" bestFit="1" width="10.0" style="5"/>
    <col min="13329" max="13329" customWidth="1" bestFit="1" width="10.0" style="5"/>
    <col min="13330" max="13330" customWidth="1" bestFit="1" width="10.0" style="5"/>
    <col min="13331" max="13331" customWidth="1" bestFit="1" width="10.0" style="5"/>
    <col min="13332" max="13332" customWidth="1" bestFit="1" width="10.0" style="5"/>
    <col min="13333" max="13333" customWidth="1" bestFit="1" width="10.0" style="5"/>
    <col min="13334" max="13334" customWidth="1" bestFit="1" width="10.0" style="5"/>
    <col min="13335" max="13335" customWidth="1" bestFit="1" width="10.0" style="5"/>
    <col min="13336" max="13336" customWidth="1" bestFit="1" width="10.0" style="5"/>
    <col min="13337" max="13337" customWidth="1" bestFit="1" width="10.0" style="5"/>
    <col min="13338" max="13338" customWidth="1" bestFit="1" width="10.0" style="5"/>
    <col min="13339" max="13339" customWidth="1" bestFit="1" width="10.0" style="5"/>
    <col min="13340" max="13340" customWidth="1" bestFit="1" width="10.0" style="5"/>
    <col min="13341" max="13341" customWidth="1" bestFit="1" width="10.0" style="5"/>
    <col min="13342" max="13342" customWidth="1" bestFit="1" width="10.0" style="5"/>
    <col min="13343" max="13343" customWidth="1" bestFit="1" width="10.0" style="5"/>
    <col min="13344" max="13344" customWidth="1" bestFit="1" width="10.0" style="5"/>
    <col min="13345" max="13345" customWidth="1" bestFit="1" width="10.0" style="5"/>
    <col min="13346" max="13346" customWidth="1" bestFit="1" width="10.0" style="5"/>
    <col min="13347" max="13347" customWidth="1" bestFit="1" width="10.0" style="5"/>
    <col min="13348" max="13348" customWidth="1" bestFit="1" width="10.0" style="5"/>
    <col min="13349" max="13349" customWidth="1" bestFit="1" width="10.0" style="5"/>
    <col min="13350" max="13350" customWidth="1" bestFit="1" width="10.0" style="5"/>
    <col min="13351" max="13351" customWidth="1" bestFit="1" width="10.0" style="5"/>
    <col min="13352" max="13352" customWidth="1" bestFit="1" width="10.0" style="5"/>
    <col min="13353" max="13353" customWidth="1" bestFit="1" width="10.0" style="5"/>
    <col min="13354" max="13354" customWidth="1" bestFit="1" width="10.0" style="5"/>
    <col min="13355" max="13355" customWidth="1" bestFit="1" width="10.0" style="5"/>
    <col min="13356" max="13356" customWidth="1" bestFit="1" width="10.0" style="5"/>
    <col min="13357" max="13357" customWidth="1" bestFit="1" width="10.0" style="5"/>
    <col min="13358" max="13358" customWidth="1" bestFit="1" width="10.0" style="5"/>
    <col min="13359" max="13359" customWidth="1" bestFit="1" width="10.0" style="5"/>
    <col min="13360" max="13360" customWidth="1" bestFit="1" width="10.0" style="5"/>
    <col min="13361" max="13361" customWidth="1" bestFit="1" width="10.0" style="5"/>
    <col min="13362" max="13362" customWidth="1" bestFit="1" width="10.0" style="5"/>
    <col min="13363" max="13363" customWidth="1" bestFit="1" width="10.0" style="5"/>
    <col min="13364" max="13364" customWidth="1" bestFit="1" width="10.0" style="5"/>
    <col min="13365" max="13365" customWidth="1" bestFit="1" width="10.0" style="5"/>
    <col min="13366" max="13366" customWidth="1" bestFit="1" width="10.0" style="5"/>
    <col min="13367" max="13367" customWidth="1" bestFit="1" width="10.0" style="5"/>
    <col min="13368" max="13368" customWidth="1" bestFit="1" width="10.0" style="5"/>
    <col min="13369" max="13369" customWidth="1" bestFit="1" width="10.0" style="5"/>
    <col min="13370" max="13370" customWidth="1" bestFit="1" width="10.0" style="5"/>
    <col min="13371" max="13371" customWidth="1" bestFit="1" width="10.0" style="5"/>
    <col min="13372" max="13372" customWidth="1" bestFit="1" width="10.0" style="5"/>
    <col min="13373" max="13373" customWidth="1" bestFit="1" width="10.0" style="5"/>
    <col min="13374" max="13374" customWidth="1" bestFit="1" width="10.0" style="5"/>
    <col min="13375" max="13375" customWidth="1" bestFit="1" width="10.0" style="5"/>
    <col min="13376" max="13376" customWidth="1" bestFit="1" width="10.0" style="5"/>
    <col min="13377" max="13377" customWidth="1" bestFit="1" width="10.0" style="5"/>
    <col min="13378" max="13378" customWidth="1" bestFit="1" width="10.0" style="5"/>
    <col min="13379" max="13379" customWidth="1" bestFit="1" width="10.0" style="5"/>
    <col min="13380" max="13380" customWidth="1" bestFit="1" width="10.0" style="5"/>
    <col min="13381" max="13381" customWidth="1" bestFit="1" width="10.0" style="5"/>
    <col min="13382" max="13382" customWidth="1" bestFit="1" width="10.0" style="5"/>
    <col min="13383" max="13383" customWidth="1" bestFit="1" width="10.0" style="5"/>
    <col min="13384" max="13384" customWidth="1" bestFit="1" width="10.0" style="5"/>
    <col min="13385" max="13385" customWidth="1" bestFit="1" width="10.0" style="5"/>
    <col min="13386" max="13386" customWidth="1" bestFit="1" width="10.0" style="5"/>
    <col min="13387" max="13387" customWidth="1" bestFit="1" width="10.0" style="5"/>
    <col min="13388" max="13388" customWidth="1" bestFit="1" width="10.0" style="5"/>
    <col min="13389" max="13389" customWidth="1" bestFit="1" width="10.0" style="5"/>
    <col min="13390" max="13390" customWidth="1" bestFit="1" width="10.0" style="5"/>
    <col min="13391" max="13391" customWidth="1" bestFit="1" width="10.0" style="5"/>
    <col min="13392" max="13392" customWidth="1" bestFit="1" width="10.0" style="5"/>
    <col min="13393" max="13393" customWidth="1" bestFit="1" width="10.0" style="5"/>
    <col min="13394" max="13394" customWidth="1" bestFit="1" width="10.0" style="5"/>
    <col min="13395" max="13395" customWidth="1" bestFit="1" width="10.0" style="5"/>
    <col min="13396" max="13396" customWidth="1" bestFit="1" width="10.0" style="5"/>
    <col min="13397" max="13397" customWidth="1" bestFit="1" width="10.0" style="5"/>
    <col min="13398" max="13398" customWidth="1" bestFit="1" width="10.0" style="5"/>
    <col min="13399" max="13399" customWidth="1" bestFit="1" width="10.0" style="5"/>
    <col min="13400" max="13400" customWidth="1" bestFit="1" width="10.0" style="5"/>
    <col min="13401" max="13401" customWidth="1" bestFit="1" width="10.0" style="5"/>
    <col min="13402" max="13402" customWidth="1" bestFit="1" width="10.0" style="5"/>
    <col min="13403" max="13403" customWidth="1" bestFit="1" width="10.0" style="5"/>
    <col min="13404" max="13404" customWidth="1" bestFit="1" width="10.0" style="5"/>
    <col min="13405" max="13405" customWidth="1" bestFit="1" width="10.0" style="5"/>
    <col min="13406" max="13406" customWidth="1" bestFit="1" width="10.0" style="5"/>
    <col min="13407" max="13407" customWidth="1" bestFit="1" width="10.0" style="5"/>
    <col min="13408" max="13408" customWidth="1" bestFit="1" width="10.0" style="5"/>
    <col min="13409" max="13409" customWidth="1" bestFit="1" width="10.0" style="5"/>
    <col min="13410" max="13410" customWidth="1" bestFit="1" width="10.0" style="5"/>
    <col min="13411" max="13411" customWidth="1" bestFit="1" width="10.0" style="5"/>
    <col min="13412" max="13412" customWidth="1" bestFit="1" width="10.0" style="5"/>
    <col min="13413" max="13413" customWidth="1" bestFit="1" width="10.0" style="5"/>
    <col min="13414" max="13414" customWidth="1" bestFit="1" width="10.0" style="5"/>
    <col min="13415" max="13415" customWidth="1" bestFit="1" width="10.0" style="5"/>
    <col min="13416" max="13416" customWidth="1" bestFit="1" width="10.0" style="5"/>
    <col min="13417" max="13417" customWidth="1" bestFit="1" width="10.0" style="5"/>
    <col min="13418" max="13418" customWidth="1" bestFit="1" width="10.0" style="5"/>
    <col min="13419" max="13419" customWidth="1" bestFit="1" width="10.0" style="5"/>
    <col min="13420" max="13420" customWidth="1" bestFit="1" width="10.0" style="5"/>
    <col min="13421" max="13421" customWidth="1" bestFit="1" width="10.0" style="5"/>
    <col min="13422" max="13422" customWidth="1" bestFit="1" width="10.0" style="5"/>
    <col min="13423" max="13423" customWidth="1" bestFit="1" width="10.0" style="5"/>
    <col min="13424" max="13424" customWidth="1" bestFit="1" width="10.0" style="5"/>
    <col min="13425" max="13425" customWidth="1" bestFit="1" width="10.0" style="5"/>
    <col min="13426" max="13426" customWidth="1" bestFit="1" width="10.0" style="5"/>
    <col min="13427" max="13427" customWidth="1" bestFit="1" width="10.0" style="5"/>
    <col min="13428" max="13428" customWidth="1" bestFit="1" width="10.0" style="5"/>
    <col min="13429" max="13429" customWidth="1" bestFit="1" width="10.0" style="5"/>
    <col min="13430" max="13430" customWidth="1" bestFit="1" width="10.0" style="5"/>
    <col min="13431" max="13431" customWidth="1" bestFit="1" width="10.0" style="5"/>
    <col min="13432" max="13432" customWidth="1" bestFit="1" width="10.0" style="5"/>
    <col min="13433" max="13433" customWidth="1" bestFit="1" width="10.0" style="5"/>
    <col min="13434" max="13434" customWidth="1" bestFit="1" width="10.0" style="5"/>
    <col min="13435" max="13435" customWidth="1" bestFit="1" width="10.0" style="5"/>
    <col min="13436" max="13436" customWidth="1" bestFit="1" width="10.0" style="5"/>
    <col min="13437" max="13437" customWidth="1" bestFit="1" width="10.0" style="5"/>
    <col min="13438" max="13438" customWidth="1" bestFit="1" width="10.0" style="5"/>
    <col min="13439" max="13439" customWidth="1" bestFit="1" width="10.0" style="5"/>
    <col min="13440" max="13440" customWidth="1" bestFit="1" width="10.0" style="5"/>
    <col min="13441" max="13441" customWidth="1" bestFit="1" width="10.0" style="5"/>
    <col min="13442" max="13442" customWidth="1" bestFit="1" width="10.0" style="5"/>
    <col min="13443" max="13443" customWidth="1" bestFit="1" width="10.0" style="5"/>
    <col min="13444" max="13444" customWidth="1" bestFit="1" width="10.0" style="5"/>
    <col min="13445" max="13445" customWidth="1" bestFit="1" width="10.0" style="5"/>
    <col min="13446" max="13446" customWidth="1" bestFit="1" width="10.0" style="5"/>
    <col min="13447" max="13447" customWidth="1" bestFit="1" width="10.0" style="5"/>
    <col min="13448" max="13448" customWidth="1" bestFit="1" width="10.0" style="5"/>
    <col min="13449" max="13449" customWidth="1" bestFit="1" width="10.0" style="5"/>
    <col min="13450" max="13450" customWidth="1" bestFit="1" width="10.0" style="5"/>
    <col min="13451" max="13451" customWidth="1" bestFit="1" width="10.0" style="5"/>
    <col min="13452" max="13452" customWidth="1" bestFit="1" width="10.0" style="5"/>
    <col min="13453" max="13453" customWidth="1" bestFit="1" width="10.0" style="5"/>
    <col min="13454" max="13454" customWidth="1" bestFit="1" width="10.0" style="5"/>
    <col min="13455" max="13455" customWidth="1" bestFit="1" width="10.0" style="5"/>
    <col min="13456" max="13456" customWidth="1" bestFit="1" width="10.0" style="5"/>
    <col min="13457" max="13457" customWidth="1" bestFit="1" width="10.0" style="5"/>
    <col min="13458" max="13458" customWidth="1" bestFit="1" width="10.0" style="5"/>
    <col min="13459" max="13459" customWidth="1" bestFit="1" width="10.0" style="5"/>
    <col min="13460" max="13460" customWidth="1" bestFit="1" width="10.0" style="5"/>
    <col min="13461" max="13461" customWidth="1" bestFit="1" width="10.0" style="5"/>
    <col min="13462" max="13462" customWidth="1" bestFit="1" width="10.0" style="5"/>
    <col min="13463" max="13463" customWidth="1" bestFit="1" width="10.0" style="5"/>
    <col min="13464" max="13464" customWidth="1" bestFit="1" width="10.0" style="5"/>
    <col min="13465" max="13465" customWidth="1" bestFit="1" width="10.0" style="5"/>
    <col min="13466" max="13466" customWidth="1" bestFit="1" width="10.0" style="5"/>
    <col min="13467" max="13467" customWidth="1" bestFit="1" width="10.0" style="5"/>
    <col min="13468" max="13468" customWidth="1" bestFit="1" width="10.0" style="5"/>
    <col min="13469" max="13469" customWidth="1" bestFit="1" width="10.0" style="5"/>
    <col min="13470" max="13470" customWidth="1" bestFit="1" width="10.0" style="5"/>
    <col min="13471" max="13471" customWidth="1" bestFit="1" width="10.0" style="5"/>
    <col min="13472" max="13472" customWidth="1" bestFit="1" width="10.0" style="5"/>
    <col min="13473" max="13473" customWidth="1" bestFit="1" width="10.0" style="5"/>
    <col min="13474" max="13474" customWidth="1" bestFit="1" width="10.0" style="5"/>
    <col min="13475" max="13475" customWidth="1" bestFit="1" width="10.0" style="5"/>
    <col min="13476" max="13476" customWidth="1" bestFit="1" width="10.0" style="5"/>
    <col min="13477" max="13477" customWidth="1" bestFit="1" width="10.0" style="5"/>
    <col min="13478" max="13478" customWidth="1" bestFit="1" width="10.0" style="5"/>
    <col min="13479" max="13479" customWidth="1" bestFit="1" width="10.0" style="5"/>
    <col min="13480" max="13480" customWidth="1" bestFit="1" width="10.0" style="5"/>
    <col min="13481" max="13481" customWidth="1" bestFit="1" width="10.0" style="5"/>
    <col min="13482" max="13482" customWidth="1" bestFit="1" width="10.0" style="5"/>
    <col min="13483" max="13483" customWidth="1" bestFit="1" width="10.0" style="5"/>
    <col min="13484" max="13484" customWidth="1" bestFit="1" width="10.0" style="5"/>
    <col min="13485" max="13485" customWidth="1" bestFit="1" width="10.0" style="5"/>
    <col min="13486" max="13486" customWidth="1" bestFit="1" width="10.0" style="5"/>
    <col min="13487" max="13487" customWidth="1" bestFit="1" width="10.0" style="5"/>
    <col min="13488" max="13488" customWidth="1" bestFit="1" width="10.0" style="5"/>
    <col min="13489" max="13489" customWidth="1" bestFit="1" width="10.0" style="5"/>
    <col min="13490" max="13490" customWidth="1" bestFit="1" width="10.0" style="5"/>
    <col min="13491" max="13491" customWidth="1" bestFit="1" width="10.0" style="5"/>
    <col min="13492" max="13492" customWidth="1" bestFit="1" width="10.0" style="5"/>
    <col min="13493" max="13493" customWidth="1" bestFit="1" width="10.0" style="5"/>
    <col min="13494" max="13494" customWidth="1" bestFit="1" width="10.0" style="5"/>
    <col min="13495" max="13495" customWidth="1" bestFit="1" width="10.0" style="5"/>
    <col min="13496" max="13496" customWidth="1" bestFit="1" width="10.0" style="5"/>
    <col min="13497" max="13497" customWidth="1" bestFit="1" width="10.0" style="5"/>
    <col min="13498" max="13498" customWidth="1" bestFit="1" width="10.0" style="5"/>
    <col min="13499" max="13499" customWidth="1" bestFit="1" width="10.0" style="5"/>
    <col min="13500" max="13500" customWidth="1" bestFit="1" width="10.0" style="5"/>
    <col min="13501" max="13501" customWidth="1" bestFit="1" width="10.0" style="5"/>
    <col min="13502" max="13502" customWidth="1" bestFit="1" width="10.0" style="5"/>
    <col min="13503" max="13503" customWidth="1" bestFit="1" width="10.0" style="5"/>
    <col min="13504" max="13504" customWidth="1" bestFit="1" width="10.0" style="5"/>
    <col min="13505" max="13505" customWidth="1" bestFit="1" width="10.0" style="5"/>
    <col min="13506" max="13506" customWidth="1" bestFit="1" width="10.0" style="5"/>
    <col min="13507" max="13507" customWidth="1" bestFit="1" width="10.0" style="5"/>
    <col min="13508" max="13508" customWidth="1" bestFit="1" width="10.0" style="5"/>
    <col min="13509" max="13509" customWidth="1" bestFit="1" width="10.0" style="5"/>
    <col min="13510" max="13510" customWidth="1" bestFit="1" width="10.0" style="5"/>
    <col min="13511" max="13511" customWidth="1" bestFit="1" width="10.0" style="5"/>
    <col min="13512" max="13512" customWidth="1" bestFit="1" width="10.0" style="5"/>
    <col min="13513" max="13513" customWidth="1" bestFit="1" width="10.0" style="5"/>
    <col min="13514" max="13514" customWidth="1" bestFit="1" width="10.0" style="5"/>
    <col min="13515" max="13515" customWidth="1" bestFit="1" width="10.0" style="5"/>
    <col min="13516" max="13516" customWidth="1" bestFit="1" width="10.0" style="5"/>
    <col min="13517" max="13517" customWidth="1" bestFit="1" width="10.0" style="5"/>
    <col min="13518" max="13518" customWidth="1" bestFit="1" width="10.0" style="5"/>
    <col min="13519" max="13519" customWidth="1" bestFit="1" width="10.0" style="5"/>
    <col min="13520" max="13520" customWidth="1" bestFit="1" width="10.0" style="5"/>
    <col min="13521" max="13521" customWidth="1" bestFit="1" width="10.0" style="5"/>
    <col min="13522" max="13522" customWidth="1" bestFit="1" width="10.0" style="5"/>
    <col min="13523" max="13523" customWidth="1" bestFit="1" width="10.0" style="5"/>
    <col min="13524" max="13524" customWidth="1" bestFit="1" width="10.0" style="5"/>
    <col min="13525" max="13525" customWidth="1" bestFit="1" width="10.0" style="5"/>
    <col min="13526" max="13526" customWidth="1" bestFit="1" width="10.0" style="5"/>
    <col min="13527" max="13527" customWidth="1" bestFit="1" width="10.0" style="5"/>
    <col min="13528" max="13528" customWidth="1" bestFit="1" width="10.0" style="5"/>
    <col min="13529" max="13529" customWidth="1" bestFit="1" width="10.0" style="5"/>
    <col min="13530" max="13530" customWidth="1" bestFit="1" width="10.0" style="5"/>
    <col min="13531" max="13531" customWidth="1" bestFit="1" width="10.0" style="5"/>
    <col min="13532" max="13532" customWidth="1" bestFit="1" width="10.0" style="5"/>
    <col min="13533" max="13533" customWidth="1" bestFit="1" width="10.0" style="5"/>
    <col min="13534" max="13534" customWidth="1" bestFit="1" width="10.0" style="5"/>
    <col min="13535" max="13535" customWidth="1" bestFit="1" width="10.0" style="5"/>
    <col min="13536" max="13536" customWidth="1" bestFit="1" width="10.0" style="5"/>
    <col min="13537" max="13537" customWidth="1" bestFit="1" width="10.0" style="5"/>
    <col min="13538" max="13538" customWidth="1" bestFit="1" width="10.0" style="5"/>
    <col min="13539" max="13539" customWidth="1" bestFit="1" width="10.0" style="5"/>
    <col min="13540" max="13540" customWidth="1" bestFit="1" width="10.0" style="5"/>
    <col min="13541" max="13541" customWidth="1" bestFit="1" width="10.0" style="5"/>
    <col min="13542" max="13542" customWidth="1" bestFit="1" width="10.0" style="5"/>
    <col min="13543" max="13543" customWidth="1" bestFit="1" width="10.0" style="5"/>
    <col min="13544" max="13544" customWidth="1" bestFit="1" width="10.0" style="5"/>
    <col min="13545" max="13545" customWidth="1" bestFit="1" width="10.0" style="5"/>
    <col min="13546" max="13546" customWidth="1" bestFit="1" width="10.0" style="5"/>
    <col min="13547" max="13547" customWidth="1" bestFit="1" width="10.0" style="5"/>
    <col min="13548" max="13548" customWidth="1" bestFit="1" width="10.0" style="5"/>
    <col min="13549" max="13549" customWidth="1" bestFit="1" width="10.0" style="5"/>
    <col min="13550" max="13550" customWidth="1" bestFit="1" width="10.0" style="5"/>
    <col min="13551" max="13551" customWidth="1" bestFit="1" width="10.0" style="5"/>
    <col min="13552" max="13552" customWidth="1" bestFit="1" width="10.0" style="5"/>
    <col min="13553" max="13553" customWidth="1" bestFit="1" width="10.0" style="5"/>
    <col min="13554" max="13554" customWidth="1" bestFit="1" width="10.0" style="5"/>
    <col min="13555" max="13555" customWidth="1" bestFit="1" width="10.0" style="5"/>
    <col min="13556" max="13556" customWidth="1" bestFit="1" width="10.0" style="5"/>
    <col min="13557" max="13557" customWidth="1" bestFit="1" width="10.0" style="5"/>
    <col min="13558" max="13558" customWidth="1" bestFit="1" width="10.0" style="5"/>
    <col min="13559" max="13559" customWidth="1" bestFit="1" width="10.0" style="5"/>
    <col min="13560" max="13560" customWidth="1" bestFit="1" width="10.0" style="5"/>
    <col min="13561" max="13561" customWidth="1" bestFit="1" width="10.0" style="5"/>
    <col min="13562" max="13562" customWidth="1" bestFit="1" width="10.0" style="5"/>
    <col min="13563" max="13563" customWidth="1" bestFit="1" width="10.0" style="5"/>
    <col min="13564" max="13564" customWidth="1" bestFit="1" width="10.0" style="5"/>
    <col min="13565" max="13565" customWidth="1" bestFit="1" width="10.0" style="5"/>
    <col min="13566" max="13566" customWidth="1" bestFit="1" width="10.0" style="5"/>
    <col min="13567" max="13567" customWidth="1" bestFit="1" width="10.0" style="5"/>
    <col min="13568" max="13568" customWidth="1" bestFit="1" width="10.0" style="5"/>
    <col min="13569" max="13569" customWidth="1" bestFit="1" width="10.0" style="5"/>
    <col min="13570" max="13570" customWidth="1" bestFit="1" width="10.0" style="5"/>
    <col min="13571" max="13571" customWidth="1" bestFit="1" width="10.0" style="5"/>
    <col min="13572" max="13572" customWidth="1" bestFit="1" width="10.0" style="5"/>
    <col min="13573" max="13573" customWidth="1" bestFit="1" width="10.0" style="5"/>
    <col min="13574" max="13574" customWidth="1" bestFit="1" width="10.0" style="5"/>
    <col min="13575" max="13575" customWidth="1" bestFit="1" width="10.0" style="5"/>
    <col min="13576" max="13576" customWidth="1" bestFit="1" width="10.0" style="5"/>
    <col min="13577" max="13577" customWidth="1" bestFit="1" width="10.0" style="5"/>
    <col min="13578" max="13578" customWidth="1" bestFit="1" width="10.0" style="5"/>
    <col min="13579" max="13579" customWidth="1" bestFit="1" width="10.0" style="5"/>
    <col min="13580" max="13580" customWidth="1" bestFit="1" width="10.0" style="5"/>
    <col min="13581" max="13581" customWidth="1" bestFit="1" width="10.0" style="5"/>
    <col min="13582" max="13582" customWidth="1" bestFit="1" width="10.0" style="5"/>
    <col min="13583" max="13583" customWidth="1" bestFit="1" width="10.0" style="5"/>
    <col min="13584" max="13584" customWidth="1" bestFit="1" width="10.0" style="5"/>
    <col min="13585" max="13585" customWidth="1" bestFit="1" width="10.0" style="5"/>
    <col min="13586" max="13586" customWidth="1" bestFit="1" width="10.0" style="5"/>
    <col min="13587" max="13587" customWidth="1" bestFit="1" width="10.0" style="5"/>
    <col min="13588" max="13588" customWidth="1" bestFit="1" width="10.0" style="5"/>
    <col min="13589" max="13589" customWidth="1" bestFit="1" width="10.0" style="5"/>
    <col min="13590" max="13590" customWidth="1" bestFit="1" width="10.0" style="5"/>
    <col min="13591" max="13591" customWidth="1" bestFit="1" width="10.0" style="5"/>
    <col min="13592" max="13592" customWidth="1" bestFit="1" width="10.0" style="5"/>
    <col min="13593" max="13593" customWidth="1" bestFit="1" width="10.0" style="5"/>
    <col min="13594" max="13594" customWidth="1" bestFit="1" width="10.0" style="5"/>
    <col min="13595" max="13595" customWidth="1" bestFit="1" width="10.0" style="5"/>
    <col min="13596" max="13596" customWidth="1" bestFit="1" width="10.0" style="5"/>
    <col min="13597" max="13597" customWidth="1" bestFit="1" width="10.0" style="5"/>
    <col min="13598" max="13598" customWidth="1" bestFit="1" width="10.0" style="5"/>
    <col min="13599" max="13599" customWidth="1" bestFit="1" width="10.0" style="5"/>
    <col min="13600" max="13600" customWidth="1" bestFit="1" width="10.0" style="5"/>
    <col min="13601" max="13601" customWidth="1" bestFit="1" width="10.0" style="5"/>
    <col min="13602" max="13602" customWidth="1" bestFit="1" width="10.0" style="5"/>
    <col min="13603" max="13603" customWidth="1" bestFit="1" width="10.0" style="5"/>
    <col min="13604" max="13604" customWidth="1" bestFit="1" width="10.0" style="5"/>
    <col min="13605" max="13605" customWidth="1" bestFit="1" width="10.0" style="5"/>
    <col min="13606" max="13606" customWidth="1" bestFit="1" width="10.0" style="5"/>
    <col min="13607" max="13607" customWidth="1" bestFit="1" width="10.0" style="5"/>
    <col min="13608" max="13608" customWidth="1" bestFit="1" width="10.0" style="5"/>
    <col min="13609" max="13609" customWidth="1" bestFit="1" width="10.0" style="5"/>
    <col min="13610" max="13610" customWidth="1" bestFit="1" width="10.0" style="5"/>
    <col min="13611" max="13611" customWidth="1" bestFit="1" width="10.0" style="5"/>
    <col min="13612" max="13612" customWidth="1" bestFit="1" width="10.0" style="5"/>
    <col min="13613" max="13613" customWidth="1" bestFit="1" width="10.0" style="5"/>
    <col min="13614" max="13614" customWidth="1" bestFit="1" width="10.0" style="5"/>
    <col min="13615" max="13615" customWidth="1" bestFit="1" width="10.0" style="5"/>
    <col min="13616" max="13616" customWidth="1" bestFit="1" width="10.0" style="5"/>
    <col min="13617" max="13617" customWidth="1" bestFit="1" width="10.0" style="5"/>
    <col min="13618" max="13618" customWidth="1" bestFit="1" width="10.0" style="5"/>
    <col min="13619" max="13619" customWidth="1" bestFit="1" width="10.0" style="5"/>
    <col min="13620" max="13620" customWidth="1" bestFit="1" width="10.0" style="5"/>
    <col min="13621" max="13621" customWidth="1" bestFit="1" width="10.0" style="5"/>
    <col min="13622" max="13622" customWidth="1" bestFit="1" width="10.0" style="5"/>
    <col min="13623" max="13623" customWidth="1" bestFit="1" width="10.0" style="5"/>
    <col min="13624" max="13624" customWidth="1" bestFit="1" width="10.0" style="5"/>
    <col min="13625" max="13625" customWidth="1" bestFit="1" width="10.0" style="5"/>
    <col min="13626" max="13626" customWidth="1" bestFit="1" width="10.0" style="5"/>
    <col min="13627" max="13627" customWidth="1" bestFit="1" width="10.0" style="5"/>
    <col min="13628" max="13628" customWidth="1" bestFit="1" width="10.0" style="5"/>
    <col min="13629" max="13629" customWidth="1" bestFit="1" width="10.0" style="5"/>
    <col min="13630" max="13630" customWidth="1" bestFit="1" width="10.0" style="5"/>
    <col min="13631" max="13631" customWidth="1" bestFit="1" width="10.0" style="5"/>
    <col min="13632" max="13632" customWidth="1" bestFit="1" width="10.0" style="5"/>
    <col min="13633" max="13633" customWidth="1" bestFit="1" width="10.0" style="5"/>
    <col min="13634" max="13634" customWidth="1" bestFit="1" width="10.0" style="5"/>
    <col min="13635" max="13635" customWidth="1" bestFit="1" width="10.0" style="5"/>
    <col min="13636" max="13636" customWidth="1" bestFit="1" width="10.0" style="5"/>
    <col min="13637" max="13637" customWidth="1" bestFit="1" width="10.0" style="5"/>
    <col min="13638" max="13638" customWidth="1" bestFit="1" width="10.0" style="5"/>
    <col min="13639" max="13639" customWidth="1" bestFit="1" width="10.0" style="5"/>
    <col min="13640" max="13640" customWidth="1" bestFit="1" width="10.0" style="5"/>
    <col min="13641" max="13641" customWidth="1" bestFit="1" width="10.0" style="5"/>
    <col min="13642" max="13642" customWidth="1" bestFit="1" width="10.0" style="5"/>
    <col min="13643" max="13643" customWidth="1" bestFit="1" width="10.0" style="5"/>
    <col min="13644" max="13644" customWidth="1" bestFit="1" width="10.0" style="5"/>
    <col min="13645" max="13645" customWidth="1" bestFit="1" width="10.0" style="5"/>
    <col min="13646" max="13646" customWidth="1" bestFit="1" width="10.0" style="5"/>
    <col min="13647" max="13647" customWidth="1" bestFit="1" width="10.0" style="5"/>
    <col min="13648" max="13648" customWidth="1" bestFit="1" width="10.0" style="5"/>
    <col min="13649" max="13649" customWidth="1" bestFit="1" width="10.0" style="5"/>
    <col min="13650" max="13650" customWidth="1" bestFit="1" width="10.0" style="5"/>
    <col min="13651" max="13651" customWidth="1" bestFit="1" width="10.0" style="5"/>
    <col min="13652" max="13652" customWidth="1" bestFit="1" width="10.0" style="5"/>
    <col min="13653" max="13653" customWidth="1" bestFit="1" width="10.0" style="5"/>
    <col min="13654" max="13654" customWidth="1" bestFit="1" width="10.0" style="5"/>
    <col min="13655" max="13655" customWidth="1" bestFit="1" width="10.0" style="5"/>
    <col min="13656" max="13656" customWidth="1" bestFit="1" width="10.0" style="5"/>
    <col min="13657" max="13657" customWidth="1" bestFit="1" width="10.0" style="5"/>
    <col min="13658" max="13658" customWidth="1" bestFit="1" width="10.0" style="5"/>
    <col min="13659" max="13659" customWidth="1" bestFit="1" width="10.0" style="5"/>
    <col min="13660" max="13660" customWidth="1" bestFit="1" width="10.0" style="5"/>
    <col min="13661" max="13661" customWidth="1" bestFit="1" width="10.0" style="5"/>
    <col min="13662" max="13662" customWidth="1" bestFit="1" width="10.0" style="5"/>
    <col min="13663" max="13663" customWidth="1" bestFit="1" width="10.0" style="5"/>
    <col min="13664" max="13664" customWidth="1" bestFit="1" width="10.0" style="5"/>
    <col min="13665" max="13665" customWidth="1" bestFit="1" width="10.0" style="5"/>
    <col min="13666" max="13666" customWidth="1" bestFit="1" width="10.0" style="5"/>
    <col min="13667" max="13667" customWidth="1" bestFit="1" width="10.0" style="5"/>
    <col min="13668" max="13668" customWidth="1" bestFit="1" width="10.0" style="5"/>
    <col min="13669" max="13669" customWidth="1" bestFit="1" width="10.0" style="5"/>
    <col min="13670" max="13670" customWidth="1" bestFit="1" width="10.0" style="5"/>
    <col min="13671" max="13671" customWidth="1" bestFit="1" width="10.0" style="5"/>
    <col min="13672" max="13672" customWidth="1" bestFit="1" width="10.0" style="5"/>
    <col min="13673" max="13673" customWidth="1" bestFit="1" width="10.0" style="5"/>
    <col min="13674" max="13674" customWidth="1" bestFit="1" width="10.0" style="5"/>
    <col min="13675" max="13675" customWidth="1" bestFit="1" width="10.0" style="5"/>
    <col min="13676" max="13676" customWidth="1" bestFit="1" width="10.0" style="5"/>
    <col min="13677" max="13677" customWidth="1" bestFit="1" width="10.0" style="5"/>
    <col min="13678" max="13678" customWidth="1" bestFit="1" width="10.0" style="5"/>
    <col min="13679" max="13679" customWidth="1" bestFit="1" width="10.0" style="5"/>
    <col min="13680" max="13680" customWidth="1" bestFit="1" width="10.0" style="5"/>
    <col min="13681" max="13681" customWidth="1" bestFit="1" width="10.0" style="5"/>
    <col min="13682" max="13682" customWidth="1" bestFit="1" width="10.0" style="5"/>
    <col min="13683" max="13683" customWidth="1" bestFit="1" width="10.0" style="5"/>
    <col min="13684" max="13684" customWidth="1" bestFit="1" width="10.0" style="5"/>
    <col min="13685" max="13685" customWidth="1" bestFit="1" width="10.0" style="5"/>
    <col min="13686" max="13686" customWidth="1" bestFit="1" width="10.0" style="5"/>
    <col min="13687" max="13687" customWidth="1" bestFit="1" width="10.0" style="5"/>
    <col min="13688" max="13688" customWidth="1" bestFit="1" width="10.0" style="5"/>
    <col min="13689" max="13689" customWidth="1" bestFit="1" width="10.0" style="5"/>
    <col min="13690" max="13690" customWidth="1" bestFit="1" width="10.0" style="5"/>
    <col min="13691" max="13691" customWidth="1" bestFit="1" width="10.0" style="5"/>
    <col min="13692" max="13692" customWidth="1" bestFit="1" width="10.0" style="5"/>
    <col min="13693" max="13693" customWidth="1" bestFit="1" width="10.0" style="5"/>
    <col min="13694" max="13694" customWidth="1" bestFit="1" width="10.0" style="5"/>
    <col min="13695" max="13695" customWidth="1" bestFit="1" width="10.0" style="5"/>
    <col min="13696" max="13696" customWidth="1" bestFit="1" width="10.0" style="5"/>
    <col min="13697" max="13697" customWidth="1" bestFit="1" width="10.0" style="5"/>
    <col min="13698" max="13698" customWidth="1" bestFit="1" width="10.0" style="5"/>
    <col min="13699" max="13699" customWidth="1" bestFit="1" width="10.0" style="5"/>
    <col min="13700" max="13700" customWidth="1" bestFit="1" width="10.0" style="5"/>
    <col min="13701" max="13701" customWidth="1" bestFit="1" width="10.0" style="5"/>
    <col min="13702" max="13702" customWidth="1" bestFit="1" width="10.0" style="5"/>
    <col min="13703" max="13703" customWidth="1" bestFit="1" width="10.0" style="5"/>
    <col min="13704" max="13704" customWidth="1" bestFit="1" width="10.0" style="5"/>
    <col min="13705" max="13705" customWidth="1" bestFit="1" width="10.0" style="5"/>
    <col min="13706" max="13706" customWidth="1" bestFit="1" width="10.0" style="5"/>
    <col min="13707" max="13707" customWidth="1" bestFit="1" width="10.0" style="5"/>
    <col min="13708" max="13708" customWidth="1" bestFit="1" width="10.0" style="5"/>
    <col min="13709" max="13709" customWidth="1" bestFit="1" width="10.0" style="5"/>
    <col min="13710" max="13710" customWidth="1" bestFit="1" width="10.0" style="5"/>
    <col min="13711" max="13711" customWidth="1" bestFit="1" width="10.0" style="5"/>
    <col min="13712" max="13712" customWidth="1" bestFit="1" width="10.0" style="5"/>
    <col min="13713" max="13713" customWidth="1" bestFit="1" width="10.0" style="5"/>
    <col min="13714" max="13714" customWidth="1" bestFit="1" width="10.0" style="5"/>
    <col min="13715" max="13715" customWidth="1" bestFit="1" width="10.0" style="5"/>
    <col min="13716" max="13716" customWidth="1" bestFit="1" width="10.0" style="5"/>
    <col min="13717" max="13717" customWidth="1" bestFit="1" width="10.0" style="5"/>
    <col min="13718" max="13718" customWidth="1" bestFit="1" width="10.0" style="5"/>
    <col min="13719" max="13719" customWidth="1" bestFit="1" width="10.0" style="5"/>
    <col min="13720" max="13720" customWidth="1" bestFit="1" width="10.0" style="5"/>
    <col min="13721" max="13721" customWidth="1" bestFit="1" width="10.0" style="5"/>
    <col min="13722" max="13722" customWidth="1" bestFit="1" width="10.0" style="5"/>
    <col min="13723" max="13723" customWidth="1" bestFit="1" width="10.0" style="5"/>
    <col min="13724" max="13724" customWidth="1" bestFit="1" width="10.0" style="5"/>
    <col min="13725" max="13725" customWidth="1" bestFit="1" width="10.0" style="5"/>
    <col min="13726" max="13726" customWidth="1" bestFit="1" width="10.0" style="5"/>
    <col min="13727" max="13727" customWidth="1" bestFit="1" width="10.0" style="5"/>
    <col min="13728" max="13728" customWidth="1" bestFit="1" width="10.0" style="5"/>
    <col min="13729" max="13729" customWidth="1" bestFit="1" width="10.0" style="5"/>
    <col min="13730" max="13730" customWidth="1" bestFit="1" width="10.0" style="5"/>
    <col min="13731" max="13731" customWidth="1" bestFit="1" width="10.0" style="5"/>
    <col min="13732" max="13732" customWidth="1" bestFit="1" width="10.0" style="5"/>
    <col min="13733" max="13733" customWidth="1" bestFit="1" width="10.0" style="5"/>
    <col min="13734" max="13734" customWidth="1" bestFit="1" width="10.0" style="5"/>
    <col min="13735" max="13735" customWidth="1" bestFit="1" width="10.0" style="5"/>
    <col min="13736" max="13736" customWidth="1" bestFit="1" width="10.0" style="5"/>
    <col min="13737" max="13737" customWidth="1" bestFit="1" width="10.0" style="5"/>
    <col min="13738" max="13738" customWidth="1" bestFit="1" width="10.0" style="5"/>
    <col min="13739" max="13739" customWidth="1" bestFit="1" width="10.0" style="5"/>
    <col min="13740" max="13740" customWidth="1" bestFit="1" width="10.0" style="5"/>
    <col min="13741" max="13741" customWidth="1" bestFit="1" width="10.0" style="5"/>
    <col min="13742" max="13742" customWidth="1" bestFit="1" width="10.0" style="5"/>
    <col min="13743" max="13743" customWidth="1" bestFit="1" width="10.0" style="5"/>
    <col min="13744" max="13744" customWidth="1" bestFit="1" width="10.0" style="5"/>
    <col min="13745" max="13745" customWidth="1" bestFit="1" width="10.0" style="5"/>
    <col min="13746" max="13746" customWidth="1" bestFit="1" width="10.0" style="5"/>
    <col min="13747" max="13747" customWidth="1" bestFit="1" width="10.0" style="5"/>
    <col min="13748" max="13748" customWidth="1" bestFit="1" width="10.0" style="5"/>
    <col min="13749" max="13749" customWidth="1" bestFit="1" width="10.0" style="5"/>
    <col min="13750" max="13750" customWidth="1" bestFit="1" width="10.0" style="5"/>
    <col min="13751" max="13751" customWidth="1" bestFit="1" width="10.0" style="5"/>
    <col min="13752" max="13752" customWidth="1" bestFit="1" width="10.0" style="5"/>
    <col min="13753" max="13753" customWidth="1" bestFit="1" width="10.0" style="5"/>
    <col min="13754" max="13754" customWidth="1" bestFit="1" width="10.0" style="5"/>
    <col min="13755" max="13755" customWidth="1" bestFit="1" width="10.0" style="5"/>
    <col min="13756" max="13756" customWidth="1" bestFit="1" width="10.0" style="5"/>
    <col min="13757" max="13757" customWidth="1" bestFit="1" width="10.0" style="5"/>
    <col min="13758" max="13758" customWidth="1" bestFit="1" width="10.0" style="5"/>
    <col min="13759" max="13759" customWidth="1" bestFit="1" width="10.0" style="5"/>
    <col min="13760" max="13760" customWidth="1" bestFit="1" width="10.0" style="5"/>
    <col min="13761" max="13761" customWidth="1" bestFit="1" width="10.0" style="5"/>
    <col min="13762" max="13762" customWidth="1" bestFit="1" width="10.0" style="5"/>
    <col min="13763" max="13763" customWidth="1" bestFit="1" width="10.0" style="5"/>
    <col min="13764" max="13764" customWidth="1" bestFit="1" width="10.0" style="5"/>
    <col min="13765" max="13765" customWidth="1" bestFit="1" width="10.0" style="5"/>
    <col min="13766" max="13766" customWidth="1" bestFit="1" width="10.0" style="5"/>
    <col min="13767" max="13767" customWidth="1" bestFit="1" width="10.0" style="5"/>
    <col min="13768" max="13768" customWidth="1" bestFit="1" width="10.0" style="5"/>
    <col min="13769" max="13769" customWidth="1" bestFit="1" width="10.0" style="5"/>
    <col min="13770" max="13770" customWidth="1" bestFit="1" width="10.0" style="5"/>
    <col min="13771" max="13771" customWidth="1" bestFit="1" width="10.0" style="5"/>
    <col min="13772" max="13772" customWidth="1" bestFit="1" width="10.0" style="5"/>
    <col min="13773" max="13773" customWidth="1" bestFit="1" width="10.0" style="5"/>
    <col min="13774" max="13774" customWidth="1" bestFit="1" width="10.0" style="5"/>
    <col min="13775" max="13775" customWidth="1" bestFit="1" width="10.0" style="5"/>
    <col min="13776" max="13776" customWidth="1" bestFit="1" width="10.0" style="5"/>
    <col min="13777" max="13777" customWidth="1" bestFit="1" width="10.0" style="5"/>
    <col min="13778" max="13778" customWidth="1" bestFit="1" width="10.0" style="5"/>
    <col min="13779" max="13779" customWidth="1" bestFit="1" width="10.0" style="5"/>
    <col min="13780" max="13780" customWidth="1" bestFit="1" width="10.0" style="5"/>
    <col min="13781" max="13781" customWidth="1" bestFit="1" width="10.0" style="5"/>
    <col min="13782" max="13782" customWidth="1" bestFit="1" width="10.0" style="5"/>
    <col min="13783" max="13783" customWidth="1" bestFit="1" width="10.0" style="5"/>
    <col min="13784" max="13784" customWidth="1" bestFit="1" width="10.0" style="5"/>
    <col min="13785" max="13785" customWidth="1" bestFit="1" width="10.0" style="5"/>
    <col min="13786" max="13786" customWidth="1" bestFit="1" width="10.0" style="5"/>
    <col min="13787" max="13787" customWidth="1" bestFit="1" width="10.0" style="5"/>
    <col min="13788" max="13788" customWidth="1" bestFit="1" width="10.0" style="5"/>
    <col min="13789" max="13789" customWidth="1" bestFit="1" width="10.0" style="5"/>
    <col min="13790" max="13790" customWidth="1" bestFit="1" width="10.0" style="5"/>
    <col min="13791" max="13791" customWidth="1" bestFit="1" width="10.0" style="5"/>
    <col min="13792" max="13792" customWidth="1" bestFit="1" width="10.0" style="5"/>
    <col min="13793" max="13793" customWidth="1" bestFit="1" width="10.0" style="5"/>
    <col min="13794" max="13794" customWidth="1" bestFit="1" width="10.0" style="5"/>
    <col min="13795" max="13795" customWidth="1" bestFit="1" width="10.0" style="5"/>
    <col min="13796" max="13796" customWidth="1" bestFit="1" width="10.0" style="5"/>
    <col min="13797" max="13797" customWidth="1" bestFit="1" width="10.0" style="5"/>
    <col min="13798" max="13798" customWidth="1" bestFit="1" width="10.0" style="5"/>
    <col min="13799" max="13799" customWidth="1" bestFit="1" width="10.0" style="5"/>
    <col min="13800" max="13800" customWidth="1" bestFit="1" width="10.0" style="5"/>
    <col min="13801" max="13801" customWidth="1" bestFit="1" width="10.0" style="5"/>
    <col min="13802" max="13802" customWidth="1" bestFit="1" width="10.0" style="5"/>
    <col min="13803" max="13803" customWidth="1" bestFit="1" width="10.0" style="5"/>
    <col min="13804" max="13804" customWidth="1" bestFit="1" width="10.0" style="5"/>
    <col min="13805" max="13805" customWidth="1" bestFit="1" width="10.0" style="5"/>
    <col min="13806" max="13806" customWidth="1" bestFit="1" width="10.0" style="5"/>
    <col min="13807" max="13807" customWidth="1" bestFit="1" width="10.0" style="5"/>
    <col min="13808" max="13808" customWidth="1" bestFit="1" width="10.0" style="5"/>
    <col min="13809" max="13809" customWidth="1" bestFit="1" width="10.0" style="5"/>
    <col min="13810" max="13810" customWidth="1" bestFit="1" width="10.0" style="5"/>
    <col min="13811" max="13811" customWidth="1" bestFit="1" width="10.0" style="5"/>
    <col min="13812" max="13812" customWidth="1" bestFit="1" width="10.0" style="5"/>
    <col min="13813" max="13813" customWidth="1" bestFit="1" width="10.0" style="5"/>
    <col min="13814" max="13814" customWidth="1" bestFit="1" width="10.0" style="5"/>
    <col min="13815" max="13815" customWidth="1" bestFit="1" width="10.0" style="5"/>
    <col min="13816" max="13816" customWidth="1" bestFit="1" width="10.0" style="5"/>
    <col min="13817" max="13817" customWidth="1" bestFit="1" width="10.0" style="5"/>
    <col min="13818" max="13818" customWidth="1" bestFit="1" width="10.0" style="5"/>
    <col min="13819" max="13819" customWidth="1" bestFit="1" width="10.0" style="5"/>
    <col min="13820" max="13820" customWidth="1" bestFit="1" width="10.0" style="5"/>
    <col min="13821" max="13821" customWidth="1" bestFit="1" width="10.0" style="5"/>
    <col min="13822" max="13822" customWidth="1" bestFit="1" width="10.0" style="5"/>
    <col min="13823" max="13823" customWidth="1" bestFit="1" width="10.0" style="5"/>
    <col min="13824" max="13824" customWidth="1" bestFit="1" width="10.0" style="5"/>
    <col min="13825" max="13825" customWidth="1" bestFit="1" width="10.0" style="5"/>
    <col min="13826" max="13826" customWidth="1" bestFit="1" width="10.0" style="5"/>
    <col min="13827" max="13827" customWidth="1" bestFit="1" width="10.0" style="5"/>
    <col min="13828" max="13828" customWidth="1" bestFit="1" width="10.0" style="5"/>
    <col min="13829" max="13829" customWidth="1" bestFit="1" width="10.0" style="5"/>
    <col min="13830" max="13830" customWidth="1" bestFit="1" width="10.0" style="5"/>
    <col min="13831" max="13831" customWidth="1" bestFit="1" width="10.0" style="5"/>
    <col min="13832" max="13832" customWidth="1" bestFit="1" width="10.0" style="5"/>
    <col min="13833" max="13833" customWidth="1" bestFit="1" width="10.0" style="5"/>
    <col min="13834" max="13834" customWidth="1" bestFit="1" width="10.0" style="5"/>
    <col min="13835" max="13835" customWidth="1" bestFit="1" width="10.0" style="5"/>
    <col min="13836" max="13836" customWidth="1" bestFit="1" width="10.0" style="5"/>
    <col min="13837" max="13837" customWidth="1" bestFit="1" width="10.0" style="5"/>
    <col min="13838" max="13838" customWidth="1" bestFit="1" width="10.0" style="5"/>
    <col min="13839" max="13839" customWidth="1" bestFit="1" width="10.0" style="5"/>
    <col min="13840" max="13840" customWidth="1" bestFit="1" width="10.0" style="5"/>
    <col min="13841" max="13841" customWidth="1" bestFit="1" width="10.0" style="5"/>
    <col min="13842" max="13842" customWidth="1" bestFit="1" width="10.0" style="5"/>
    <col min="13843" max="13843" customWidth="1" bestFit="1" width="10.0" style="5"/>
    <col min="13844" max="13844" customWidth="1" bestFit="1" width="10.0" style="5"/>
    <col min="13845" max="13845" customWidth="1" bestFit="1" width="10.0" style="5"/>
    <col min="13846" max="13846" customWidth="1" bestFit="1" width="10.0" style="5"/>
    <col min="13847" max="13847" customWidth="1" bestFit="1" width="10.0" style="5"/>
    <col min="13848" max="13848" customWidth="1" bestFit="1" width="10.0" style="5"/>
    <col min="13849" max="13849" customWidth="1" bestFit="1" width="10.0" style="5"/>
    <col min="13850" max="13850" customWidth="1" bestFit="1" width="10.0" style="5"/>
    <col min="13851" max="13851" customWidth="1" bestFit="1" width="10.0" style="5"/>
    <col min="13852" max="13852" customWidth="1" bestFit="1" width="10.0" style="5"/>
    <col min="13853" max="13853" customWidth="1" bestFit="1" width="10.0" style="5"/>
    <col min="13854" max="13854" customWidth="1" bestFit="1" width="10.0" style="5"/>
    <col min="13855" max="13855" customWidth="1" bestFit="1" width="10.0" style="5"/>
    <col min="13856" max="13856" customWidth="1" bestFit="1" width="10.0" style="5"/>
    <col min="13857" max="13857" customWidth="1" bestFit="1" width="10.0" style="5"/>
    <col min="13858" max="13858" customWidth="1" bestFit="1" width="10.0" style="5"/>
    <col min="13859" max="13859" customWidth="1" bestFit="1" width="10.0" style="5"/>
    <col min="13860" max="13860" customWidth="1" bestFit="1" width="10.0" style="5"/>
    <col min="13861" max="13861" customWidth="1" bestFit="1" width="10.0" style="5"/>
    <col min="13862" max="13862" customWidth="1" bestFit="1" width="10.0" style="5"/>
    <col min="13863" max="13863" customWidth="1" bestFit="1" width="10.0" style="5"/>
    <col min="13864" max="13864" customWidth="1" bestFit="1" width="10.0" style="5"/>
    <col min="13865" max="13865" customWidth="1" bestFit="1" width="10.0" style="5"/>
    <col min="13866" max="13866" customWidth="1" bestFit="1" width="10.0" style="5"/>
    <col min="13867" max="13867" customWidth="1" bestFit="1" width="10.0" style="5"/>
    <col min="13868" max="13868" customWidth="1" bestFit="1" width="10.0" style="5"/>
    <col min="13869" max="13869" customWidth="1" bestFit="1" width="10.0" style="5"/>
    <col min="13870" max="13870" customWidth="1" bestFit="1" width="10.0" style="5"/>
    <col min="13871" max="13871" customWidth="1" bestFit="1" width="10.0" style="5"/>
    <col min="13872" max="13872" customWidth="1" bestFit="1" width="10.0" style="5"/>
    <col min="13873" max="13873" customWidth="1" bestFit="1" width="10.0" style="5"/>
    <col min="13874" max="13874" customWidth="1" bestFit="1" width="10.0" style="5"/>
    <col min="13875" max="13875" customWidth="1" bestFit="1" width="10.0" style="5"/>
    <col min="13876" max="13876" customWidth="1" bestFit="1" width="10.0" style="5"/>
    <col min="13877" max="13877" customWidth="1" bestFit="1" width="10.0" style="5"/>
    <col min="13878" max="13878" customWidth="1" bestFit="1" width="10.0" style="5"/>
    <col min="13879" max="13879" customWidth="1" bestFit="1" width="10.0" style="5"/>
    <col min="13880" max="13880" customWidth="1" bestFit="1" width="10.0" style="5"/>
    <col min="13881" max="13881" customWidth="1" bestFit="1" width="10.0" style="5"/>
    <col min="13882" max="13882" customWidth="1" bestFit="1" width="10.0" style="5"/>
    <col min="13883" max="13883" customWidth="1" bestFit="1" width="10.0" style="5"/>
    <col min="13884" max="13884" customWidth="1" bestFit="1" width="10.0" style="5"/>
    <col min="13885" max="13885" customWidth="1" bestFit="1" width="10.0" style="5"/>
    <col min="13886" max="13886" customWidth="1" bestFit="1" width="10.0" style="5"/>
    <col min="13887" max="13887" customWidth="1" bestFit="1" width="10.0" style="5"/>
    <col min="13888" max="13888" customWidth="1" bestFit="1" width="10.0" style="5"/>
    <col min="13889" max="13889" customWidth="1" bestFit="1" width="10.0" style="5"/>
    <col min="13890" max="13890" customWidth="1" bestFit="1" width="10.0" style="5"/>
    <col min="13891" max="13891" customWidth="1" bestFit="1" width="10.0" style="5"/>
    <col min="13892" max="13892" customWidth="1" bestFit="1" width="10.0" style="5"/>
    <col min="13893" max="13893" customWidth="1" bestFit="1" width="10.0" style="5"/>
    <col min="13894" max="13894" customWidth="1" bestFit="1" width="10.0" style="5"/>
    <col min="13895" max="13895" customWidth="1" bestFit="1" width="10.0" style="5"/>
    <col min="13896" max="13896" customWidth="1" bestFit="1" width="10.0" style="5"/>
    <col min="13897" max="13897" customWidth="1" bestFit="1" width="10.0" style="5"/>
    <col min="13898" max="13898" customWidth="1" bestFit="1" width="10.0" style="5"/>
    <col min="13899" max="13899" customWidth="1" bestFit="1" width="10.0" style="5"/>
    <col min="13900" max="13900" customWidth="1" bestFit="1" width="10.0" style="5"/>
    <col min="13901" max="13901" customWidth="1" bestFit="1" width="10.0" style="5"/>
    <col min="13902" max="13902" customWidth="1" bestFit="1" width="10.0" style="5"/>
    <col min="13903" max="13903" customWidth="1" bestFit="1" width="10.0" style="5"/>
    <col min="13904" max="13904" customWidth="1" bestFit="1" width="10.0" style="5"/>
    <col min="13905" max="13905" customWidth="1" bestFit="1" width="10.0" style="5"/>
    <col min="13906" max="13906" customWidth="1" bestFit="1" width="10.0" style="5"/>
    <col min="13907" max="13907" customWidth="1" bestFit="1" width="10.0" style="5"/>
    <col min="13908" max="13908" customWidth="1" bestFit="1" width="10.0" style="5"/>
    <col min="13909" max="13909" customWidth="1" bestFit="1" width="10.0" style="5"/>
    <col min="13910" max="13910" customWidth="1" bestFit="1" width="10.0" style="5"/>
    <col min="13911" max="13911" customWidth="1" bestFit="1" width="10.0" style="5"/>
    <col min="13912" max="13912" customWidth="1" bestFit="1" width="10.0" style="5"/>
    <col min="13913" max="13913" customWidth="1" bestFit="1" width="10.0" style="5"/>
    <col min="13914" max="13914" customWidth="1" bestFit="1" width="10.0" style="5"/>
    <col min="13915" max="13915" customWidth="1" bestFit="1" width="10.0" style="5"/>
    <col min="13916" max="13916" customWidth="1" bestFit="1" width="10.0" style="5"/>
    <col min="13917" max="13917" customWidth="1" bestFit="1" width="10.0" style="5"/>
    <col min="13918" max="13918" customWidth="1" bestFit="1" width="10.0" style="5"/>
    <col min="13919" max="13919" customWidth="1" bestFit="1" width="10.0" style="5"/>
    <col min="13920" max="13920" customWidth="1" bestFit="1" width="10.0" style="5"/>
    <col min="13921" max="13921" customWidth="1" bestFit="1" width="10.0" style="5"/>
    <col min="13922" max="13922" customWidth="1" bestFit="1" width="10.0" style="5"/>
    <col min="13923" max="13923" customWidth="1" bestFit="1" width="10.0" style="5"/>
    <col min="13924" max="13924" customWidth="1" bestFit="1" width="10.0" style="5"/>
    <col min="13925" max="13925" customWidth="1" bestFit="1" width="10.0" style="5"/>
    <col min="13926" max="13926" customWidth="1" bestFit="1" width="10.0" style="5"/>
    <col min="13927" max="13927" customWidth="1" bestFit="1" width="10.0" style="5"/>
    <col min="13928" max="13928" customWidth="1" bestFit="1" width="10.0" style="5"/>
    <col min="13929" max="13929" customWidth="1" bestFit="1" width="10.0" style="5"/>
    <col min="13930" max="13930" customWidth="1" bestFit="1" width="10.0" style="5"/>
    <col min="13931" max="13931" customWidth="1" bestFit="1" width="10.0" style="5"/>
    <col min="13932" max="13932" customWidth="1" bestFit="1" width="10.0" style="5"/>
    <col min="13933" max="13933" customWidth="1" bestFit="1" width="10.0" style="5"/>
    <col min="13934" max="13934" customWidth="1" bestFit="1" width="10.0" style="5"/>
    <col min="13935" max="13935" customWidth="1" bestFit="1" width="10.0" style="5"/>
    <col min="13936" max="13936" customWidth="1" bestFit="1" width="10.0" style="5"/>
    <col min="13937" max="13937" customWidth="1" bestFit="1" width="10.0" style="5"/>
    <col min="13938" max="13938" customWidth="1" bestFit="1" width="10.0" style="5"/>
    <col min="13939" max="13939" customWidth="1" bestFit="1" width="10.0" style="5"/>
    <col min="13940" max="13940" customWidth="1" bestFit="1" width="10.0" style="5"/>
    <col min="13941" max="13941" customWidth="1" bestFit="1" width="10.0" style="5"/>
    <col min="13942" max="13942" customWidth="1" bestFit="1" width="10.0" style="5"/>
    <col min="13943" max="13943" customWidth="1" bestFit="1" width="10.0" style="5"/>
    <col min="13944" max="13944" customWidth="1" bestFit="1" width="10.0" style="5"/>
    <col min="13945" max="13945" customWidth="1" bestFit="1" width="10.0" style="5"/>
    <col min="13946" max="13946" customWidth="1" bestFit="1" width="10.0" style="5"/>
    <col min="13947" max="13947" customWidth="1" bestFit="1" width="10.0" style="5"/>
    <col min="13948" max="13948" customWidth="1" bestFit="1" width="10.0" style="5"/>
    <col min="13949" max="13949" customWidth="1" bestFit="1" width="10.0" style="5"/>
    <col min="13950" max="13950" customWidth="1" bestFit="1" width="10.0" style="5"/>
    <col min="13951" max="13951" customWidth="1" bestFit="1" width="10.0" style="5"/>
    <col min="13952" max="13952" customWidth="1" bestFit="1" width="10.0" style="5"/>
    <col min="13953" max="13953" customWidth="1" bestFit="1" width="10.0" style="5"/>
    <col min="13954" max="13954" customWidth="1" bestFit="1" width="10.0" style="5"/>
    <col min="13955" max="13955" customWidth="1" bestFit="1" width="10.0" style="5"/>
    <col min="13956" max="13956" customWidth="1" bestFit="1" width="10.0" style="5"/>
    <col min="13957" max="13957" customWidth="1" bestFit="1" width="10.0" style="5"/>
    <col min="13958" max="13958" customWidth="1" bestFit="1" width="10.0" style="5"/>
    <col min="13959" max="13959" customWidth="1" bestFit="1" width="10.0" style="5"/>
    <col min="13960" max="13960" customWidth="1" bestFit="1" width="10.0" style="5"/>
    <col min="13961" max="13961" customWidth="1" bestFit="1" width="10.0" style="5"/>
    <col min="13962" max="13962" customWidth="1" bestFit="1" width="10.0" style="5"/>
    <col min="13963" max="13963" customWidth="1" bestFit="1" width="10.0" style="5"/>
    <col min="13964" max="13964" customWidth="1" bestFit="1" width="10.0" style="5"/>
    <col min="13965" max="13965" customWidth="1" bestFit="1" width="10.0" style="5"/>
    <col min="13966" max="13966" customWidth="1" bestFit="1" width="10.0" style="5"/>
    <col min="13967" max="13967" customWidth="1" bestFit="1" width="10.0" style="5"/>
    <col min="13968" max="13968" customWidth="1" bestFit="1" width="10.0" style="5"/>
    <col min="13969" max="13969" customWidth="1" bestFit="1" width="10.0" style="5"/>
    <col min="13970" max="13970" customWidth="1" bestFit="1" width="10.0" style="5"/>
    <col min="13971" max="13971" customWidth="1" bestFit="1" width="10.0" style="5"/>
    <col min="13972" max="13972" customWidth="1" bestFit="1" width="10.0" style="5"/>
    <col min="13973" max="13973" customWidth="1" bestFit="1" width="10.0" style="5"/>
    <col min="13974" max="13974" customWidth="1" bestFit="1" width="10.0" style="5"/>
    <col min="13975" max="13975" customWidth="1" bestFit="1" width="10.0" style="5"/>
    <col min="13976" max="13976" customWidth="1" bestFit="1" width="10.0" style="5"/>
    <col min="13977" max="13977" customWidth="1" bestFit="1" width="10.0" style="5"/>
    <col min="13978" max="13978" customWidth="1" bestFit="1" width="10.0" style="5"/>
    <col min="13979" max="13979" customWidth="1" bestFit="1" width="10.0" style="5"/>
    <col min="13980" max="13980" customWidth="1" bestFit="1" width="10.0" style="5"/>
    <col min="13981" max="13981" customWidth="1" bestFit="1" width="10.0" style="5"/>
    <col min="13982" max="13982" customWidth="1" bestFit="1" width="10.0" style="5"/>
    <col min="13983" max="13983" customWidth="1" bestFit="1" width="10.0" style="5"/>
    <col min="13984" max="13984" customWidth="1" bestFit="1" width="10.0" style="5"/>
    <col min="13985" max="13985" customWidth="1" bestFit="1" width="10.0" style="5"/>
    <col min="13986" max="13986" customWidth="1" bestFit="1" width="10.0" style="5"/>
    <col min="13987" max="13987" customWidth="1" bestFit="1" width="10.0" style="5"/>
    <col min="13988" max="13988" customWidth="1" bestFit="1" width="10.0" style="5"/>
    <col min="13989" max="13989" customWidth="1" bestFit="1" width="10.0" style="5"/>
    <col min="13990" max="13990" customWidth="1" bestFit="1" width="10.0" style="5"/>
    <col min="13991" max="13991" customWidth="1" bestFit="1" width="10.0" style="5"/>
    <col min="13992" max="13992" customWidth="1" bestFit="1" width="10.0" style="5"/>
    <col min="13993" max="13993" customWidth="1" bestFit="1" width="10.0" style="5"/>
    <col min="13994" max="13994" customWidth="1" bestFit="1" width="10.0" style="5"/>
    <col min="13995" max="13995" customWidth="1" bestFit="1" width="10.0" style="5"/>
    <col min="13996" max="13996" customWidth="1" bestFit="1" width="10.0" style="5"/>
    <col min="13997" max="13997" customWidth="1" bestFit="1" width="10.0" style="5"/>
    <col min="13998" max="13998" customWidth="1" bestFit="1" width="10.0" style="5"/>
    <col min="13999" max="13999" customWidth="1" bestFit="1" width="10.0" style="5"/>
    <col min="14000" max="14000" customWidth="1" bestFit="1" width="10.0" style="5"/>
    <col min="14001" max="14001" customWidth="1" bestFit="1" width="10.0" style="5"/>
    <col min="14002" max="14002" customWidth="1" bestFit="1" width="10.0" style="5"/>
    <col min="14003" max="14003" customWidth="1" bestFit="1" width="10.0" style="5"/>
    <col min="14004" max="14004" customWidth="1" bestFit="1" width="10.0" style="5"/>
    <col min="14005" max="14005" customWidth="1" bestFit="1" width="10.0" style="5"/>
    <col min="14006" max="14006" customWidth="1" bestFit="1" width="10.0" style="5"/>
    <col min="14007" max="14007" customWidth="1" bestFit="1" width="10.0" style="5"/>
    <col min="14008" max="14008" customWidth="1" bestFit="1" width="10.0" style="5"/>
    <col min="14009" max="14009" customWidth="1" bestFit="1" width="10.0" style="5"/>
    <col min="14010" max="14010" customWidth="1" bestFit="1" width="10.0" style="5"/>
    <col min="14011" max="14011" customWidth="1" bestFit="1" width="10.0" style="5"/>
    <col min="14012" max="14012" customWidth="1" bestFit="1" width="10.0" style="5"/>
    <col min="14013" max="14013" customWidth="1" bestFit="1" width="10.0" style="5"/>
    <col min="14014" max="14014" customWidth="1" bestFit="1" width="10.0" style="5"/>
    <col min="14015" max="14015" customWidth="1" bestFit="1" width="10.0" style="5"/>
    <col min="14016" max="14016" customWidth="1" bestFit="1" width="10.0" style="5"/>
    <col min="14017" max="14017" customWidth="1" bestFit="1" width="10.0" style="5"/>
    <col min="14018" max="14018" customWidth="1" bestFit="1" width="10.0" style="5"/>
    <col min="14019" max="14019" customWidth="1" bestFit="1" width="10.0" style="5"/>
    <col min="14020" max="14020" customWidth="1" bestFit="1" width="10.0" style="5"/>
    <col min="14021" max="14021" customWidth="1" bestFit="1" width="10.0" style="5"/>
    <col min="14022" max="14022" customWidth="1" bestFit="1" width="10.0" style="5"/>
    <col min="14023" max="14023" customWidth="1" bestFit="1" width="10.0" style="5"/>
    <col min="14024" max="14024" customWidth="1" bestFit="1" width="10.0" style="5"/>
    <col min="14025" max="14025" customWidth="1" bestFit="1" width="10.0" style="5"/>
    <col min="14026" max="14026" customWidth="1" bestFit="1" width="10.0" style="5"/>
    <col min="14027" max="14027" customWidth="1" bestFit="1" width="10.0" style="5"/>
    <col min="14028" max="14028" customWidth="1" bestFit="1" width="10.0" style="5"/>
    <col min="14029" max="14029" customWidth="1" bestFit="1" width="10.0" style="5"/>
    <col min="14030" max="14030" customWidth="1" bestFit="1" width="10.0" style="5"/>
    <col min="14031" max="14031" customWidth="1" bestFit="1" width="10.0" style="5"/>
    <col min="14032" max="14032" customWidth="1" bestFit="1" width="10.0" style="5"/>
    <col min="14033" max="14033" customWidth="1" bestFit="1" width="10.0" style="5"/>
    <col min="14034" max="14034" customWidth="1" bestFit="1" width="10.0" style="5"/>
    <col min="14035" max="14035" customWidth="1" bestFit="1" width="10.0" style="5"/>
    <col min="14036" max="14036" customWidth="1" bestFit="1" width="10.0" style="5"/>
    <col min="14037" max="14037" customWidth="1" bestFit="1" width="10.0" style="5"/>
    <col min="14038" max="14038" customWidth="1" bestFit="1" width="10.0" style="5"/>
    <col min="14039" max="14039" customWidth="1" bestFit="1" width="10.0" style="5"/>
    <col min="14040" max="14040" customWidth="1" bestFit="1" width="10.0" style="5"/>
    <col min="14041" max="14041" customWidth="1" bestFit="1" width="10.0" style="5"/>
    <col min="14042" max="14042" customWidth="1" bestFit="1" width="10.0" style="5"/>
    <col min="14043" max="14043" customWidth="1" bestFit="1" width="10.0" style="5"/>
    <col min="14044" max="14044" customWidth="1" bestFit="1" width="10.0" style="5"/>
    <col min="14045" max="14045" customWidth="1" bestFit="1" width="10.0" style="5"/>
    <col min="14046" max="14046" customWidth="1" bestFit="1" width="10.0" style="5"/>
    <col min="14047" max="14047" customWidth="1" bestFit="1" width="10.0" style="5"/>
    <col min="14048" max="14048" customWidth="1" bestFit="1" width="10.0" style="5"/>
    <col min="14049" max="14049" customWidth="1" bestFit="1" width="10.0" style="5"/>
    <col min="14050" max="14050" customWidth="1" bestFit="1" width="10.0" style="5"/>
    <col min="14051" max="14051" customWidth="1" bestFit="1" width="10.0" style="5"/>
    <col min="14052" max="14052" customWidth="1" bestFit="1" width="10.0" style="5"/>
    <col min="14053" max="14053" customWidth="1" bestFit="1" width="10.0" style="5"/>
    <col min="14054" max="14054" customWidth="1" bestFit="1" width="10.0" style="5"/>
    <col min="14055" max="14055" customWidth="1" bestFit="1" width="10.0" style="5"/>
    <col min="14056" max="14056" customWidth="1" bestFit="1" width="10.0" style="5"/>
    <col min="14057" max="14057" customWidth="1" bestFit="1" width="10.0" style="5"/>
    <col min="14058" max="14058" customWidth="1" bestFit="1" width="10.0" style="5"/>
    <col min="14059" max="14059" customWidth="1" bestFit="1" width="10.0" style="5"/>
    <col min="14060" max="14060" customWidth="1" bestFit="1" width="10.0" style="5"/>
    <col min="14061" max="14061" customWidth="1" bestFit="1" width="10.0" style="5"/>
    <col min="14062" max="14062" customWidth="1" bestFit="1" width="10.0" style="5"/>
    <col min="14063" max="14063" customWidth="1" bestFit="1" width="10.0" style="5"/>
    <col min="14064" max="14064" customWidth="1" bestFit="1" width="10.0" style="5"/>
    <col min="14065" max="14065" customWidth="1" bestFit="1" width="10.0" style="5"/>
    <col min="14066" max="14066" customWidth="1" bestFit="1" width="10.0" style="5"/>
    <col min="14067" max="14067" customWidth="1" bestFit="1" width="10.0" style="5"/>
    <col min="14068" max="14068" customWidth="1" bestFit="1" width="10.0" style="5"/>
    <col min="14069" max="14069" customWidth="1" bestFit="1" width="10.0" style="5"/>
    <col min="14070" max="14070" customWidth="1" bestFit="1" width="10.0" style="5"/>
    <col min="14071" max="14071" customWidth="1" bestFit="1" width="10.0" style="5"/>
    <col min="14072" max="14072" customWidth="1" bestFit="1" width="10.0" style="5"/>
    <col min="14073" max="14073" customWidth="1" bestFit="1" width="10.0" style="5"/>
    <col min="14074" max="14074" customWidth="1" bestFit="1" width="10.0" style="5"/>
    <col min="14075" max="14075" customWidth="1" bestFit="1" width="10.0" style="5"/>
    <col min="14076" max="14076" customWidth="1" bestFit="1" width="10.0" style="5"/>
    <col min="14077" max="14077" customWidth="1" bestFit="1" width="10.0" style="5"/>
    <col min="14078" max="14078" customWidth="1" bestFit="1" width="10.0" style="5"/>
    <col min="14079" max="14079" customWidth="1" bestFit="1" width="10.0" style="5"/>
    <col min="14080" max="14080" customWidth="1" bestFit="1" width="10.0" style="5"/>
    <col min="14081" max="14081" customWidth="1" bestFit="1" width="10.0" style="5"/>
    <col min="14082" max="14082" customWidth="1" bestFit="1" width="10.0" style="5"/>
    <col min="14083" max="14083" customWidth="1" bestFit="1" width="10.0" style="5"/>
    <col min="14084" max="14084" customWidth="1" bestFit="1" width="10.0" style="5"/>
    <col min="14085" max="14085" customWidth="1" bestFit="1" width="10.0" style="5"/>
    <col min="14086" max="14086" customWidth="1" bestFit="1" width="10.0" style="5"/>
    <col min="14087" max="14087" customWidth="1" bestFit="1" width="10.0" style="5"/>
    <col min="14088" max="14088" customWidth="1" bestFit="1" width="10.0" style="5"/>
    <col min="14089" max="14089" customWidth="1" bestFit="1" width="10.0" style="5"/>
    <col min="14090" max="14090" customWidth="1" bestFit="1" width="10.0" style="5"/>
    <col min="14091" max="14091" customWidth="1" bestFit="1" width="10.0" style="5"/>
    <col min="14092" max="14092" customWidth="1" bestFit="1" width="10.0" style="5"/>
    <col min="14093" max="14093" customWidth="1" bestFit="1" width="10.0" style="5"/>
    <col min="14094" max="14094" customWidth="1" bestFit="1" width="10.0" style="5"/>
    <col min="14095" max="14095" customWidth="1" bestFit="1" width="10.0" style="5"/>
    <col min="14096" max="14096" customWidth="1" bestFit="1" width="10.0" style="5"/>
    <col min="14097" max="14097" customWidth="1" bestFit="1" width="10.0" style="5"/>
    <col min="14098" max="14098" customWidth="1" bestFit="1" width="10.0" style="5"/>
    <col min="14099" max="14099" customWidth="1" bestFit="1" width="10.0" style="5"/>
    <col min="14100" max="14100" customWidth="1" bestFit="1" width="10.0" style="5"/>
    <col min="14101" max="14101" customWidth="1" bestFit="1" width="10.0" style="5"/>
    <col min="14102" max="14102" customWidth="1" bestFit="1" width="10.0" style="5"/>
    <col min="14103" max="14103" customWidth="1" bestFit="1" width="10.0" style="5"/>
    <col min="14104" max="14104" customWidth="1" bestFit="1" width="10.0" style="5"/>
    <col min="14105" max="14105" customWidth="1" bestFit="1" width="10.0" style="5"/>
    <col min="14106" max="14106" customWidth="1" bestFit="1" width="10.0" style="5"/>
    <col min="14107" max="14107" customWidth="1" bestFit="1" width="10.0" style="5"/>
    <col min="14108" max="14108" customWidth="1" bestFit="1" width="10.0" style="5"/>
    <col min="14109" max="14109" customWidth="1" bestFit="1" width="10.0" style="5"/>
    <col min="14110" max="14110" customWidth="1" bestFit="1" width="10.0" style="5"/>
    <col min="14111" max="14111" customWidth="1" bestFit="1" width="10.0" style="5"/>
    <col min="14112" max="14112" customWidth="1" bestFit="1" width="10.0" style="5"/>
    <col min="14113" max="14113" customWidth="1" bestFit="1" width="10.0" style="5"/>
    <col min="14114" max="14114" customWidth="1" bestFit="1" width="10.0" style="5"/>
    <col min="14115" max="14115" customWidth="1" bestFit="1" width="10.0" style="5"/>
    <col min="14116" max="14116" customWidth="1" bestFit="1" width="10.0" style="5"/>
    <col min="14117" max="14117" customWidth="1" bestFit="1" width="10.0" style="5"/>
    <col min="14118" max="14118" customWidth="1" bestFit="1" width="10.0" style="5"/>
    <col min="14119" max="14119" customWidth="1" bestFit="1" width="10.0" style="5"/>
    <col min="14120" max="14120" customWidth="1" bestFit="1" width="10.0" style="5"/>
    <col min="14121" max="14121" customWidth="1" bestFit="1" width="10.0" style="5"/>
    <col min="14122" max="14122" customWidth="1" bestFit="1" width="10.0" style="5"/>
    <col min="14123" max="14123" customWidth="1" bestFit="1" width="10.0" style="5"/>
    <col min="14124" max="14124" customWidth="1" bestFit="1" width="10.0" style="5"/>
    <col min="14125" max="14125" customWidth="1" bestFit="1" width="10.0" style="5"/>
    <col min="14126" max="14126" customWidth="1" bestFit="1" width="10.0" style="5"/>
    <col min="14127" max="14127" customWidth="1" bestFit="1" width="10.0" style="5"/>
    <col min="14128" max="14128" customWidth="1" bestFit="1" width="10.0" style="5"/>
    <col min="14129" max="14129" customWidth="1" bestFit="1" width="10.0" style="5"/>
    <col min="14130" max="14130" customWidth="1" bestFit="1" width="10.0" style="5"/>
    <col min="14131" max="14131" customWidth="1" bestFit="1" width="10.0" style="5"/>
    <col min="14132" max="14132" customWidth="1" bestFit="1" width="10.0" style="5"/>
    <col min="14133" max="14133" customWidth="1" bestFit="1" width="10.0" style="5"/>
    <col min="14134" max="14134" customWidth="1" bestFit="1" width="10.0" style="5"/>
    <col min="14135" max="14135" customWidth="1" bestFit="1" width="10.0" style="5"/>
    <col min="14136" max="14136" customWidth="1" bestFit="1" width="10.0" style="5"/>
    <col min="14137" max="14137" customWidth="1" bestFit="1" width="10.0" style="5"/>
    <col min="14138" max="14138" customWidth="1" bestFit="1" width="10.0" style="5"/>
    <col min="14139" max="14139" customWidth="1" bestFit="1" width="10.0" style="5"/>
    <col min="14140" max="14140" customWidth="1" bestFit="1" width="10.0" style="5"/>
    <col min="14141" max="14141" customWidth="1" bestFit="1" width="10.0" style="5"/>
    <col min="14142" max="14142" customWidth="1" bestFit="1" width="10.0" style="5"/>
    <col min="14143" max="14143" customWidth="1" bestFit="1" width="10.0" style="5"/>
    <col min="14144" max="14144" customWidth="1" bestFit="1" width="10.0" style="5"/>
    <col min="14145" max="14145" customWidth="1" bestFit="1" width="10.0" style="5"/>
    <col min="14146" max="14146" customWidth="1" bestFit="1" width="10.0" style="5"/>
    <col min="14147" max="14147" customWidth="1" bestFit="1" width="10.0" style="5"/>
    <col min="14148" max="14148" customWidth="1" bestFit="1" width="10.0" style="5"/>
    <col min="14149" max="14149" customWidth="1" bestFit="1" width="10.0" style="5"/>
    <col min="14150" max="14150" customWidth="1" bestFit="1" width="10.0" style="5"/>
    <col min="14151" max="14151" customWidth="1" bestFit="1" width="10.0" style="5"/>
    <col min="14152" max="14152" customWidth="1" bestFit="1" width="10.0" style="5"/>
    <col min="14153" max="14153" customWidth="1" bestFit="1" width="10.0" style="5"/>
    <col min="14154" max="14154" customWidth="1" bestFit="1" width="10.0" style="5"/>
    <col min="14155" max="14155" customWidth="1" bestFit="1" width="10.0" style="5"/>
    <col min="14156" max="14156" customWidth="1" bestFit="1" width="10.0" style="5"/>
    <col min="14157" max="14157" customWidth="1" bestFit="1" width="10.0" style="5"/>
    <col min="14158" max="14158" customWidth="1" bestFit="1" width="10.0" style="5"/>
    <col min="14159" max="14159" customWidth="1" bestFit="1" width="10.0" style="5"/>
    <col min="14160" max="14160" customWidth="1" bestFit="1" width="10.0" style="5"/>
    <col min="14161" max="14161" customWidth="1" bestFit="1" width="10.0" style="5"/>
    <col min="14162" max="14162" customWidth="1" bestFit="1" width="10.0" style="5"/>
    <col min="14163" max="14163" customWidth="1" bestFit="1" width="10.0" style="5"/>
    <col min="14164" max="14164" customWidth="1" bestFit="1" width="10.0" style="5"/>
    <col min="14165" max="14165" customWidth="1" bestFit="1" width="10.0" style="5"/>
    <col min="14166" max="14166" customWidth="1" bestFit="1" width="10.0" style="5"/>
    <col min="14167" max="14167" customWidth="1" bestFit="1" width="10.0" style="5"/>
    <col min="14168" max="14168" customWidth="1" bestFit="1" width="10.0" style="5"/>
    <col min="14169" max="14169" customWidth="1" bestFit="1" width="10.0" style="5"/>
    <col min="14170" max="14170" customWidth="1" bestFit="1" width="10.0" style="5"/>
    <col min="14171" max="14171" customWidth="1" bestFit="1" width="10.0" style="5"/>
    <col min="14172" max="14172" customWidth="1" bestFit="1" width="10.0" style="5"/>
    <col min="14173" max="14173" customWidth="1" bestFit="1" width="10.0" style="5"/>
    <col min="14174" max="14174" customWidth="1" bestFit="1" width="10.0" style="5"/>
    <col min="14175" max="14175" customWidth="1" bestFit="1" width="10.0" style="5"/>
    <col min="14176" max="14176" customWidth="1" bestFit="1" width="10.0" style="5"/>
    <col min="14177" max="14177" customWidth="1" bestFit="1" width="10.0" style="5"/>
    <col min="14178" max="14178" customWidth="1" bestFit="1" width="10.0" style="5"/>
    <col min="14179" max="14179" customWidth="1" bestFit="1" width="10.0" style="5"/>
    <col min="14180" max="14180" customWidth="1" bestFit="1" width="10.0" style="5"/>
    <col min="14181" max="14181" customWidth="1" bestFit="1" width="10.0" style="5"/>
    <col min="14182" max="14182" customWidth="1" bestFit="1" width="10.0" style="5"/>
    <col min="14183" max="14183" customWidth="1" bestFit="1" width="10.0" style="5"/>
    <col min="14184" max="14184" customWidth="1" bestFit="1" width="10.0" style="5"/>
    <col min="14185" max="14185" customWidth="1" bestFit="1" width="10.0" style="5"/>
    <col min="14186" max="14186" customWidth="1" bestFit="1" width="10.0" style="5"/>
    <col min="14187" max="14187" customWidth="1" bestFit="1" width="10.0" style="5"/>
    <col min="14188" max="14188" customWidth="1" bestFit="1" width="10.0" style="5"/>
    <col min="14189" max="14189" customWidth="1" bestFit="1" width="10.0" style="5"/>
    <col min="14190" max="14190" customWidth="1" bestFit="1" width="10.0" style="5"/>
    <col min="14191" max="14191" customWidth="1" bestFit="1" width="10.0" style="5"/>
    <col min="14192" max="14192" customWidth="1" bestFit="1" width="10.0" style="5"/>
    <col min="14193" max="14193" customWidth="1" bestFit="1" width="10.0" style="5"/>
    <col min="14194" max="14194" customWidth="1" bestFit="1" width="10.0" style="5"/>
    <col min="14195" max="14195" customWidth="1" bestFit="1" width="10.0" style="5"/>
    <col min="14196" max="14196" customWidth="1" bestFit="1" width="10.0" style="5"/>
    <col min="14197" max="14197" customWidth="1" bestFit="1" width="10.0" style="5"/>
    <col min="14198" max="14198" customWidth="1" bestFit="1" width="10.0" style="5"/>
    <col min="14199" max="14199" customWidth="1" bestFit="1" width="10.0" style="5"/>
    <col min="14200" max="14200" customWidth="1" bestFit="1" width="10.0" style="5"/>
    <col min="14201" max="14201" customWidth="1" bestFit="1" width="10.0" style="5"/>
    <col min="14202" max="14202" customWidth="1" bestFit="1" width="10.0" style="5"/>
    <col min="14203" max="14203" customWidth="1" bestFit="1" width="10.0" style="5"/>
    <col min="14204" max="14204" customWidth="1" bestFit="1" width="10.0" style="5"/>
    <col min="14205" max="14205" customWidth="1" bestFit="1" width="10.0" style="5"/>
    <col min="14206" max="14206" customWidth="1" bestFit="1" width="10.0" style="5"/>
    <col min="14207" max="14207" customWidth="1" bestFit="1" width="10.0" style="5"/>
    <col min="14208" max="14208" customWidth="1" bestFit="1" width="10.0" style="5"/>
    <col min="14209" max="14209" customWidth="1" bestFit="1" width="10.0" style="5"/>
    <col min="14210" max="14210" customWidth="1" bestFit="1" width="10.0" style="5"/>
    <col min="14211" max="14211" customWidth="1" bestFit="1" width="10.0" style="5"/>
    <col min="14212" max="14212" customWidth="1" bestFit="1" width="10.0" style="5"/>
    <col min="14213" max="14213" customWidth="1" bestFit="1" width="10.0" style="5"/>
    <col min="14214" max="14214" customWidth="1" bestFit="1" width="10.0" style="5"/>
    <col min="14215" max="14215" customWidth="1" bestFit="1" width="10.0" style="5"/>
    <col min="14216" max="14216" customWidth="1" bestFit="1" width="10.0" style="5"/>
    <col min="14217" max="14217" customWidth="1" bestFit="1" width="10.0" style="5"/>
    <col min="14218" max="14218" customWidth="1" bestFit="1" width="10.0" style="5"/>
    <col min="14219" max="14219" customWidth="1" bestFit="1" width="10.0" style="5"/>
    <col min="14220" max="14220" customWidth="1" bestFit="1" width="10.0" style="5"/>
    <col min="14221" max="14221" customWidth="1" bestFit="1" width="10.0" style="5"/>
    <col min="14222" max="14222" customWidth="1" bestFit="1" width="10.0" style="5"/>
    <col min="14223" max="14223" customWidth="1" bestFit="1" width="10.0" style="5"/>
    <col min="14224" max="14224" customWidth="1" bestFit="1" width="10.0" style="5"/>
    <col min="14225" max="14225" customWidth="1" bestFit="1" width="10.0" style="5"/>
    <col min="14226" max="14226" customWidth="1" bestFit="1" width="10.0" style="5"/>
    <col min="14227" max="14227" customWidth="1" bestFit="1" width="10.0" style="5"/>
    <col min="14228" max="14228" customWidth="1" bestFit="1" width="10.0" style="5"/>
    <col min="14229" max="14229" customWidth="1" bestFit="1" width="10.0" style="5"/>
    <col min="14230" max="14230" customWidth="1" bestFit="1" width="10.0" style="5"/>
    <col min="14231" max="14231" customWidth="1" bestFit="1" width="10.0" style="5"/>
    <col min="14232" max="14232" customWidth="1" bestFit="1" width="10.0" style="5"/>
    <col min="14233" max="14233" customWidth="1" bestFit="1" width="10.0" style="5"/>
    <col min="14234" max="14234" customWidth="1" bestFit="1" width="10.0" style="5"/>
    <col min="14235" max="14235" customWidth="1" bestFit="1" width="10.0" style="5"/>
    <col min="14236" max="14236" customWidth="1" bestFit="1" width="10.0" style="5"/>
    <col min="14237" max="14237" customWidth="1" bestFit="1" width="10.0" style="5"/>
    <col min="14238" max="14238" customWidth="1" bestFit="1" width="10.0" style="5"/>
    <col min="14239" max="14239" customWidth="1" bestFit="1" width="10.0" style="5"/>
    <col min="14240" max="14240" customWidth="1" bestFit="1" width="10.0" style="5"/>
    <col min="14241" max="14241" customWidth="1" bestFit="1" width="10.0" style="5"/>
    <col min="14242" max="14242" customWidth="1" bestFit="1" width="10.0" style="5"/>
    <col min="14243" max="14243" customWidth="1" bestFit="1" width="10.0" style="5"/>
    <col min="14244" max="14244" customWidth="1" bestFit="1" width="10.0" style="5"/>
    <col min="14245" max="14245" customWidth="1" bestFit="1" width="10.0" style="5"/>
    <col min="14246" max="14246" customWidth="1" bestFit="1" width="10.0" style="5"/>
    <col min="14247" max="14247" customWidth="1" bestFit="1" width="10.0" style="5"/>
    <col min="14248" max="14248" customWidth="1" bestFit="1" width="10.0" style="5"/>
    <col min="14249" max="14249" customWidth="1" bestFit="1" width="10.0" style="5"/>
    <col min="14250" max="14250" customWidth="1" bestFit="1" width="10.0" style="5"/>
    <col min="14251" max="14251" customWidth="1" bestFit="1" width="10.0" style="5"/>
    <col min="14252" max="14252" customWidth="1" bestFit="1" width="10.0" style="5"/>
    <col min="14253" max="14253" customWidth="1" bestFit="1" width="10.0" style="5"/>
    <col min="14254" max="14254" customWidth="1" bestFit="1" width="10.0" style="5"/>
    <col min="14255" max="14255" customWidth="1" bestFit="1" width="10.0" style="5"/>
    <col min="14256" max="14256" customWidth="1" bestFit="1" width="10.0" style="5"/>
    <col min="14257" max="14257" customWidth="1" bestFit="1" width="10.0" style="5"/>
    <col min="14258" max="14258" customWidth="1" bestFit="1" width="10.0" style="5"/>
    <col min="14259" max="14259" customWidth="1" bestFit="1" width="10.0" style="5"/>
    <col min="14260" max="14260" customWidth="1" bestFit="1" width="10.0" style="5"/>
    <col min="14261" max="14261" customWidth="1" bestFit="1" width="10.0" style="5"/>
    <col min="14262" max="14262" customWidth="1" bestFit="1" width="10.0" style="5"/>
    <col min="14263" max="14263" customWidth="1" bestFit="1" width="10.0" style="5"/>
    <col min="14264" max="14264" customWidth="1" bestFit="1" width="10.0" style="5"/>
    <col min="14265" max="14265" customWidth="1" bestFit="1" width="10.0" style="5"/>
    <col min="14266" max="14266" customWidth="1" bestFit="1" width="10.0" style="5"/>
    <col min="14267" max="14267" customWidth="1" bestFit="1" width="10.0" style="5"/>
    <col min="14268" max="14268" customWidth="1" bestFit="1" width="10.0" style="5"/>
    <col min="14269" max="14269" customWidth="1" bestFit="1" width="10.0" style="5"/>
    <col min="14270" max="14270" customWidth="1" bestFit="1" width="10.0" style="5"/>
    <col min="14271" max="14271" customWidth="1" bestFit="1" width="10.0" style="5"/>
    <col min="14272" max="14272" customWidth="1" bestFit="1" width="10.0" style="5"/>
    <col min="14273" max="14273" customWidth="1" bestFit="1" width="10.0" style="5"/>
    <col min="14274" max="14274" customWidth="1" bestFit="1" width="10.0" style="5"/>
    <col min="14275" max="14275" customWidth="1" bestFit="1" width="10.0" style="5"/>
    <col min="14276" max="14276" customWidth="1" bestFit="1" width="10.0" style="5"/>
    <col min="14277" max="14277" customWidth="1" bestFit="1" width="10.0" style="5"/>
    <col min="14278" max="14278" customWidth="1" bestFit="1" width="10.0" style="5"/>
    <col min="14279" max="14279" customWidth="1" bestFit="1" width="10.0" style="5"/>
    <col min="14280" max="14280" customWidth="1" bestFit="1" width="10.0" style="5"/>
    <col min="14281" max="14281" customWidth="1" bestFit="1" width="10.0" style="5"/>
    <col min="14282" max="14282" customWidth="1" bestFit="1" width="10.0" style="5"/>
    <col min="14283" max="14283" customWidth="1" bestFit="1" width="10.0" style="5"/>
    <col min="14284" max="14284" customWidth="1" bestFit="1" width="10.0" style="5"/>
    <col min="14285" max="14285" customWidth="1" bestFit="1" width="10.0" style="5"/>
    <col min="14286" max="14286" customWidth="1" bestFit="1" width="10.0" style="5"/>
    <col min="14287" max="14287" customWidth="1" bestFit="1" width="10.0" style="5"/>
    <col min="14288" max="14288" customWidth="1" bestFit="1" width="10.0" style="5"/>
    <col min="14289" max="14289" customWidth="1" bestFit="1" width="10.0" style="5"/>
    <col min="14290" max="14290" customWidth="1" bestFit="1" width="10.0" style="5"/>
    <col min="14291" max="14291" customWidth="1" bestFit="1" width="10.0" style="5"/>
    <col min="14292" max="14292" customWidth="1" bestFit="1" width="10.0" style="5"/>
    <col min="14293" max="14293" customWidth="1" bestFit="1" width="10.0" style="5"/>
    <col min="14294" max="14294" customWidth="1" bestFit="1" width="10.0" style="5"/>
    <col min="14295" max="14295" customWidth="1" bestFit="1" width="10.0" style="5"/>
    <col min="14296" max="14296" customWidth="1" bestFit="1" width="10.0" style="5"/>
    <col min="14297" max="14297" customWidth="1" bestFit="1" width="10.0" style="5"/>
    <col min="14298" max="14298" customWidth="1" bestFit="1" width="10.0" style="5"/>
    <col min="14299" max="14299" customWidth="1" bestFit="1" width="10.0" style="5"/>
    <col min="14300" max="14300" customWidth="1" bestFit="1" width="10.0" style="5"/>
    <col min="14301" max="14301" customWidth="1" bestFit="1" width="10.0" style="5"/>
    <col min="14302" max="14302" customWidth="1" bestFit="1" width="10.0" style="5"/>
    <col min="14303" max="14303" customWidth="1" bestFit="1" width="10.0" style="5"/>
    <col min="14304" max="14304" customWidth="1" bestFit="1" width="10.0" style="5"/>
    <col min="14305" max="14305" customWidth="1" bestFit="1" width="10.0" style="5"/>
    <col min="14306" max="14306" customWidth="1" bestFit="1" width="10.0" style="5"/>
    <col min="14307" max="14307" customWidth="1" bestFit="1" width="10.0" style="5"/>
    <col min="14308" max="14308" customWidth="1" bestFit="1" width="10.0" style="5"/>
    <col min="14309" max="14309" customWidth="1" bestFit="1" width="10.0" style="5"/>
    <col min="14310" max="14310" customWidth="1" bestFit="1" width="10.0" style="5"/>
    <col min="14311" max="14311" customWidth="1" bestFit="1" width="10.0" style="5"/>
    <col min="14312" max="14312" customWidth="1" bestFit="1" width="10.0" style="5"/>
    <col min="14313" max="14313" customWidth="1" bestFit="1" width="10.0" style="5"/>
    <col min="14314" max="14314" customWidth="1" bestFit="1" width="10.0" style="5"/>
    <col min="14315" max="14315" customWidth="1" bestFit="1" width="10.0" style="5"/>
    <col min="14316" max="14316" customWidth="1" bestFit="1" width="10.0" style="5"/>
    <col min="14317" max="14317" customWidth="1" bestFit="1" width="10.0" style="5"/>
    <col min="14318" max="14318" customWidth="1" bestFit="1" width="10.0" style="5"/>
    <col min="14319" max="14319" customWidth="1" bestFit="1" width="10.0" style="5"/>
    <col min="14320" max="14320" customWidth="1" bestFit="1" width="10.0" style="5"/>
    <col min="14321" max="14321" customWidth="1" bestFit="1" width="10.0" style="5"/>
    <col min="14322" max="14322" customWidth="1" bestFit="1" width="10.0" style="5"/>
    <col min="14323" max="14323" customWidth="1" bestFit="1" width="10.0" style="5"/>
    <col min="14324" max="14324" customWidth="1" bestFit="1" width="10.0" style="5"/>
    <col min="14325" max="14325" customWidth="1" bestFit="1" width="10.0" style="5"/>
    <col min="14326" max="14326" customWidth="1" bestFit="1" width="10.0" style="5"/>
    <col min="14327" max="14327" customWidth="1" bestFit="1" width="10.0" style="5"/>
    <col min="14328" max="14328" customWidth="1" bestFit="1" width="10.0" style="5"/>
    <col min="14329" max="14329" customWidth="1" bestFit="1" width="10.0" style="5"/>
    <col min="14330" max="14330" customWidth="1" bestFit="1" width="10.0" style="5"/>
    <col min="14331" max="14331" customWidth="1" bestFit="1" width="10.0" style="5"/>
    <col min="14332" max="14332" customWidth="1" bestFit="1" width="10.0" style="5"/>
    <col min="14333" max="14333" customWidth="1" bestFit="1" width="10.0" style="5"/>
    <col min="14334" max="14334" customWidth="1" bestFit="1" width="10.0" style="5"/>
    <col min="14335" max="14335" customWidth="1" bestFit="1" width="10.0" style="5"/>
    <col min="14336" max="14336" customWidth="1" bestFit="1" width="10.0" style="5"/>
    <col min="14337" max="14337" customWidth="1" bestFit="1" width="10.0" style="5"/>
    <col min="14338" max="14338" customWidth="1" bestFit="1" width="10.0" style="5"/>
    <col min="14339" max="14339" customWidth="1" bestFit="1" width="10.0" style="5"/>
    <col min="14340" max="14340" customWidth="1" bestFit="1" width="10.0" style="5"/>
    <col min="14341" max="14341" customWidth="1" bestFit="1" width="10.0" style="5"/>
    <col min="14342" max="14342" customWidth="1" bestFit="1" width="10.0" style="5"/>
    <col min="14343" max="14343" customWidth="1" bestFit="1" width="10.0" style="5"/>
    <col min="14344" max="14344" customWidth="1" bestFit="1" width="10.0" style="5"/>
    <col min="14345" max="14345" customWidth="1" bestFit="1" width="10.0" style="5"/>
    <col min="14346" max="14346" customWidth="1" bestFit="1" width="10.0" style="5"/>
    <col min="14347" max="14347" customWidth="1" bestFit="1" width="10.0" style="5"/>
    <col min="14348" max="14348" customWidth="1" bestFit="1" width="10.0" style="5"/>
    <col min="14349" max="14349" customWidth="1" bestFit="1" width="10.0" style="5"/>
    <col min="14350" max="14350" customWidth="1" bestFit="1" width="10.0" style="5"/>
    <col min="14351" max="14351" customWidth="1" bestFit="1" width="10.0" style="5"/>
    <col min="14352" max="14352" customWidth="1" bestFit="1" width="10.0" style="5"/>
    <col min="14353" max="14353" customWidth="1" bestFit="1" width="10.0" style="5"/>
    <col min="14354" max="14354" customWidth="1" bestFit="1" width="10.0" style="5"/>
    <col min="14355" max="14355" customWidth="1" bestFit="1" width="10.0" style="5"/>
    <col min="14356" max="14356" customWidth="1" bestFit="1" width="10.0" style="5"/>
    <col min="14357" max="14357" customWidth="1" bestFit="1" width="10.0" style="5"/>
    <col min="14358" max="14358" customWidth="1" bestFit="1" width="10.0" style="5"/>
    <col min="14359" max="14359" customWidth="1" bestFit="1" width="10.0" style="5"/>
    <col min="14360" max="14360" customWidth="1" bestFit="1" width="10.0" style="5"/>
    <col min="14361" max="14361" customWidth="1" bestFit="1" width="10.0" style="5"/>
    <col min="14362" max="14362" customWidth="1" bestFit="1" width="10.0" style="5"/>
    <col min="14363" max="14363" customWidth="1" bestFit="1" width="10.0" style="5"/>
    <col min="14364" max="14364" customWidth="1" bestFit="1" width="10.0" style="5"/>
    <col min="14365" max="14365" customWidth="1" bestFit="1" width="10.0" style="5"/>
    <col min="14366" max="14366" customWidth="1" bestFit="1" width="10.0" style="5"/>
    <col min="14367" max="14367" customWidth="1" bestFit="1" width="10.0" style="5"/>
    <col min="14368" max="14368" customWidth="1" bestFit="1" width="10.0" style="5"/>
    <col min="14369" max="14369" customWidth="1" bestFit="1" width="10.0" style="5"/>
    <col min="14370" max="14370" customWidth="1" bestFit="1" width="10.0" style="5"/>
    <col min="14371" max="14371" customWidth="1" bestFit="1" width="10.0" style="5"/>
    <col min="14372" max="14372" customWidth="1" bestFit="1" width="10.0" style="5"/>
    <col min="14373" max="14373" customWidth="1" bestFit="1" width="10.0" style="5"/>
    <col min="14374" max="14374" customWidth="1" bestFit="1" width="10.0" style="5"/>
    <col min="14375" max="14375" customWidth="1" bestFit="1" width="10.0" style="5"/>
    <col min="14376" max="14376" customWidth="1" bestFit="1" width="10.0" style="5"/>
    <col min="14377" max="14377" customWidth="1" bestFit="1" width="10.0" style="5"/>
    <col min="14378" max="14378" customWidth="1" bestFit="1" width="10.0" style="5"/>
    <col min="14379" max="14379" customWidth="1" bestFit="1" width="10.0" style="5"/>
    <col min="14380" max="14380" customWidth="1" bestFit="1" width="10.0" style="5"/>
    <col min="14381" max="14381" customWidth="1" bestFit="1" width="10.0" style="5"/>
    <col min="14382" max="14382" customWidth="1" bestFit="1" width="10.0" style="5"/>
    <col min="14383" max="14383" customWidth="1" bestFit="1" width="10.0" style="5"/>
    <col min="14384" max="14384" customWidth="1" bestFit="1" width="10.0" style="5"/>
    <col min="14385" max="14385" customWidth="1" bestFit="1" width="10.0" style="5"/>
    <col min="14386" max="14386" customWidth="1" bestFit="1" width="10.0" style="5"/>
    <col min="14387" max="14387" customWidth="1" bestFit="1" width="10.0" style="5"/>
    <col min="14388" max="14388" customWidth="1" bestFit="1" width="10.0" style="5"/>
    <col min="14389" max="14389" customWidth="1" bestFit="1" width="10.0" style="5"/>
    <col min="14390" max="14390" customWidth="1" bestFit="1" width="10.0" style="5"/>
    <col min="14391" max="14391" customWidth="1" bestFit="1" width="10.0" style="5"/>
    <col min="14392" max="14392" customWidth="1" bestFit="1" width="10.0" style="5"/>
    <col min="14393" max="14393" customWidth="1" bestFit="1" width="10.0" style="5"/>
    <col min="14394" max="14394" customWidth="1" bestFit="1" width="10.0" style="5"/>
    <col min="14395" max="14395" customWidth="1" bestFit="1" width="10.0" style="5"/>
    <col min="14396" max="14396" customWidth="1" bestFit="1" width="10.0" style="5"/>
    <col min="14397" max="14397" customWidth="1" bestFit="1" width="10.0" style="5"/>
    <col min="14398" max="14398" customWidth="1" bestFit="1" width="10.0" style="5"/>
    <col min="14399" max="14399" customWidth="1" bestFit="1" width="10.0" style="5"/>
    <col min="14400" max="14400" customWidth="1" bestFit="1" width="10.0" style="5"/>
    <col min="14401" max="14401" customWidth="1" bestFit="1" width="10.0" style="5"/>
    <col min="14402" max="14402" customWidth="1" bestFit="1" width="10.0" style="5"/>
    <col min="14403" max="14403" customWidth="1" bestFit="1" width="10.0" style="5"/>
    <col min="14404" max="14404" customWidth="1" bestFit="1" width="10.0" style="5"/>
    <col min="14405" max="14405" customWidth="1" bestFit="1" width="10.0" style="5"/>
    <col min="14406" max="14406" customWidth="1" bestFit="1" width="10.0" style="5"/>
    <col min="14407" max="14407" customWidth="1" bestFit="1" width="10.0" style="5"/>
    <col min="14408" max="14408" customWidth="1" bestFit="1" width="10.0" style="5"/>
    <col min="14409" max="14409" customWidth="1" bestFit="1" width="10.0" style="5"/>
    <col min="14410" max="14410" customWidth="1" bestFit="1" width="10.0" style="5"/>
    <col min="14411" max="14411" customWidth="1" bestFit="1" width="10.0" style="5"/>
    <col min="14412" max="14412" customWidth="1" bestFit="1" width="10.0" style="5"/>
    <col min="14413" max="14413" customWidth="1" bestFit="1" width="10.0" style="5"/>
    <col min="14414" max="14414" customWidth="1" bestFit="1" width="10.0" style="5"/>
    <col min="14415" max="14415" customWidth="1" bestFit="1" width="10.0" style="5"/>
    <col min="14416" max="14416" customWidth="1" bestFit="1" width="10.0" style="5"/>
    <col min="14417" max="14417" customWidth="1" bestFit="1" width="10.0" style="5"/>
    <col min="14418" max="14418" customWidth="1" bestFit="1" width="10.0" style="5"/>
    <col min="14419" max="14419" customWidth="1" bestFit="1" width="10.0" style="5"/>
    <col min="14420" max="14420" customWidth="1" bestFit="1" width="10.0" style="5"/>
    <col min="14421" max="14421" customWidth="1" bestFit="1" width="10.0" style="5"/>
    <col min="14422" max="14422" customWidth="1" bestFit="1" width="10.0" style="5"/>
    <col min="14423" max="14423" customWidth="1" bestFit="1" width="10.0" style="5"/>
    <col min="14424" max="14424" customWidth="1" bestFit="1" width="10.0" style="5"/>
    <col min="14425" max="14425" customWidth="1" bestFit="1" width="10.0" style="5"/>
    <col min="14426" max="14426" customWidth="1" bestFit="1" width="10.0" style="5"/>
    <col min="14427" max="14427" customWidth="1" bestFit="1" width="10.0" style="5"/>
    <col min="14428" max="14428" customWidth="1" bestFit="1" width="10.0" style="5"/>
    <col min="14429" max="14429" customWidth="1" bestFit="1" width="10.0" style="5"/>
    <col min="14430" max="14430" customWidth="1" bestFit="1" width="10.0" style="5"/>
    <col min="14431" max="14431" customWidth="1" bestFit="1" width="10.0" style="5"/>
    <col min="14432" max="14432" customWidth="1" bestFit="1" width="10.0" style="5"/>
    <col min="14433" max="14433" customWidth="1" bestFit="1" width="10.0" style="5"/>
    <col min="14434" max="14434" customWidth="1" bestFit="1" width="10.0" style="5"/>
    <col min="14435" max="14435" customWidth="1" bestFit="1" width="10.0" style="5"/>
    <col min="14436" max="14436" customWidth="1" bestFit="1" width="10.0" style="5"/>
    <col min="14437" max="14437" customWidth="1" bestFit="1" width="10.0" style="5"/>
    <col min="14438" max="14438" customWidth="1" bestFit="1" width="10.0" style="5"/>
    <col min="14439" max="14439" customWidth="1" bestFit="1" width="10.0" style="5"/>
    <col min="14440" max="14440" customWidth="1" bestFit="1" width="10.0" style="5"/>
    <col min="14441" max="14441" customWidth="1" bestFit="1" width="10.0" style="5"/>
    <col min="14442" max="14442" customWidth="1" bestFit="1" width="10.0" style="5"/>
    <col min="14443" max="14443" customWidth="1" bestFit="1" width="10.0" style="5"/>
    <col min="14444" max="14444" customWidth="1" bestFit="1" width="10.0" style="5"/>
    <col min="14445" max="14445" customWidth="1" bestFit="1" width="10.0" style="5"/>
    <col min="14446" max="14446" customWidth="1" bestFit="1" width="10.0" style="5"/>
    <col min="14447" max="14447" customWidth="1" bestFit="1" width="10.0" style="5"/>
    <col min="14448" max="14448" customWidth="1" bestFit="1" width="10.0" style="5"/>
    <col min="14449" max="14449" customWidth="1" bestFit="1" width="10.0" style="5"/>
    <col min="14450" max="14450" customWidth="1" bestFit="1" width="10.0" style="5"/>
    <col min="14451" max="14451" customWidth="1" bestFit="1" width="10.0" style="5"/>
    <col min="14452" max="14452" customWidth="1" bestFit="1" width="10.0" style="5"/>
    <col min="14453" max="14453" customWidth="1" bestFit="1" width="10.0" style="5"/>
    <col min="14454" max="14454" customWidth="1" bestFit="1" width="10.0" style="5"/>
    <col min="14455" max="14455" customWidth="1" bestFit="1" width="10.0" style="5"/>
    <col min="14456" max="14456" customWidth="1" bestFit="1" width="10.0" style="5"/>
    <col min="14457" max="14457" customWidth="1" bestFit="1" width="10.0" style="5"/>
    <col min="14458" max="14458" customWidth="1" bestFit="1" width="10.0" style="5"/>
    <col min="14459" max="14459" customWidth="1" bestFit="1" width="10.0" style="5"/>
    <col min="14460" max="14460" customWidth="1" bestFit="1" width="10.0" style="5"/>
    <col min="14461" max="14461" customWidth="1" bestFit="1" width="10.0" style="5"/>
    <col min="14462" max="14462" customWidth="1" bestFit="1" width="10.0" style="5"/>
    <col min="14463" max="14463" customWidth="1" bestFit="1" width="10.0" style="5"/>
    <col min="14464" max="14464" customWidth="1" bestFit="1" width="10.0" style="5"/>
    <col min="14465" max="14465" customWidth="1" bestFit="1" width="10.0" style="5"/>
    <col min="14466" max="14466" customWidth="1" bestFit="1" width="10.0" style="5"/>
    <col min="14467" max="14467" customWidth="1" bestFit="1" width="10.0" style="5"/>
    <col min="14468" max="14468" customWidth="1" bestFit="1" width="10.0" style="5"/>
    <col min="14469" max="14469" customWidth="1" bestFit="1" width="10.0" style="5"/>
    <col min="14470" max="14470" customWidth="1" bestFit="1" width="10.0" style="5"/>
    <col min="14471" max="14471" customWidth="1" bestFit="1" width="10.0" style="5"/>
    <col min="14472" max="14472" customWidth="1" bestFit="1" width="10.0" style="5"/>
    <col min="14473" max="14473" customWidth="1" bestFit="1" width="10.0" style="5"/>
    <col min="14474" max="14474" customWidth="1" bestFit="1" width="10.0" style="5"/>
    <col min="14475" max="14475" customWidth="1" bestFit="1" width="10.0" style="5"/>
    <col min="14476" max="14476" customWidth="1" bestFit="1" width="10.0" style="5"/>
    <col min="14477" max="14477" customWidth="1" bestFit="1" width="10.0" style="5"/>
    <col min="14478" max="14478" customWidth="1" bestFit="1" width="10.0" style="5"/>
    <col min="14479" max="14479" customWidth="1" bestFit="1" width="10.0" style="5"/>
    <col min="14480" max="14480" customWidth="1" bestFit="1" width="10.0" style="5"/>
    <col min="14481" max="14481" customWidth="1" bestFit="1" width="10.0" style="5"/>
    <col min="14482" max="14482" customWidth="1" bestFit="1" width="10.0" style="5"/>
    <col min="14483" max="14483" customWidth="1" bestFit="1" width="10.0" style="5"/>
    <col min="14484" max="14484" customWidth="1" bestFit="1" width="10.0" style="5"/>
    <col min="14485" max="14485" customWidth="1" bestFit="1" width="10.0" style="5"/>
    <col min="14486" max="14486" customWidth="1" bestFit="1" width="10.0" style="5"/>
    <col min="14487" max="14487" customWidth="1" bestFit="1" width="10.0" style="5"/>
    <col min="14488" max="14488" customWidth="1" bestFit="1" width="10.0" style="5"/>
    <col min="14489" max="14489" customWidth="1" bestFit="1" width="10.0" style="5"/>
    <col min="14490" max="14490" customWidth="1" bestFit="1" width="10.0" style="5"/>
    <col min="14491" max="14491" customWidth="1" bestFit="1" width="10.0" style="5"/>
    <col min="14492" max="14492" customWidth="1" bestFit="1" width="10.0" style="5"/>
    <col min="14493" max="14493" customWidth="1" bestFit="1" width="10.0" style="5"/>
    <col min="14494" max="14494" customWidth="1" bestFit="1" width="10.0" style="5"/>
    <col min="14495" max="14495" customWidth="1" bestFit="1" width="10.0" style="5"/>
    <col min="14496" max="14496" customWidth="1" bestFit="1" width="10.0" style="5"/>
    <col min="14497" max="14497" customWidth="1" bestFit="1" width="10.0" style="5"/>
    <col min="14498" max="14498" customWidth="1" bestFit="1" width="10.0" style="5"/>
    <col min="14499" max="14499" customWidth="1" bestFit="1" width="10.0" style="5"/>
    <col min="14500" max="14500" customWidth="1" bestFit="1" width="10.0" style="5"/>
    <col min="14501" max="14501" customWidth="1" bestFit="1" width="10.0" style="5"/>
    <col min="14502" max="14502" customWidth="1" bestFit="1" width="10.0" style="5"/>
    <col min="14503" max="14503" customWidth="1" bestFit="1" width="10.0" style="5"/>
    <col min="14504" max="14504" customWidth="1" bestFit="1" width="10.0" style="5"/>
    <col min="14505" max="14505" customWidth="1" bestFit="1" width="10.0" style="5"/>
    <col min="14506" max="14506" customWidth="1" bestFit="1" width="10.0" style="5"/>
    <col min="14507" max="14507" customWidth="1" bestFit="1" width="10.0" style="5"/>
    <col min="14508" max="14508" customWidth="1" bestFit="1" width="10.0" style="5"/>
    <col min="14509" max="14509" customWidth="1" bestFit="1" width="10.0" style="5"/>
    <col min="14510" max="14510" customWidth="1" bestFit="1" width="10.0" style="5"/>
    <col min="14511" max="14511" customWidth="1" bestFit="1" width="10.0" style="5"/>
    <col min="14512" max="14512" customWidth="1" bestFit="1" width="10.0" style="5"/>
    <col min="14513" max="14513" customWidth="1" bestFit="1" width="10.0" style="5"/>
    <col min="14514" max="14514" customWidth="1" bestFit="1" width="10.0" style="5"/>
    <col min="14515" max="14515" customWidth="1" bestFit="1" width="10.0" style="5"/>
    <col min="14516" max="14516" customWidth="1" bestFit="1" width="10.0" style="5"/>
    <col min="14517" max="14517" customWidth="1" bestFit="1" width="10.0" style="5"/>
    <col min="14518" max="14518" customWidth="1" bestFit="1" width="10.0" style="5"/>
    <col min="14519" max="14519" customWidth="1" bestFit="1" width="10.0" style="5"/>
    <col min="14520" max="14520" customWidth="1" bestFit="1" width="10.0" style="5"/>
    <col min="14521" max="14521" customWidth="1" bestFit="1" width="10.0" style="5"/>
    <col min="14522" max="14522" customWidth="1" bestFit="1" width="10.0" style="5"/>
    <col min="14523" max="14523" customWidth="1" bestFit="1" width="10.0" style="5"/>
    <col min="14524" max="14524" customWidth="1" bestFit="1" width="10.0" style="5"/>
    <col min="14525" max="14525" customWidth="1" bestFit="1" width="10.0" style="5"/>
    <col min="14526" max="14526" customWidth="1" bestFit="1" width="10.0" style="5"/>
    <col min="14527" max="14527" customWidth="1" bestFit="1" width="10.0" style="5"/>
    <col min="14528" max="14528" customWidth="1" bestFit="1" width="10.0" style="5"/>
    <col min="14529" max="14529" customWidth="1" bestFit="1" width="10.0" style="5"/>
    <col min="14530" max="14530" customWidth="1" bestFit="1" width="10.0" style="5"/>
    <col min="14531" max="14531" customWidth="1" bestFit="1" width="10.0" style="5"/>
    <col min="14532" max="14532" customWidth="1" bestFit="1" width="10.0" style="5"/>
    <col min="14533" max="14533" customWidth="1" bestFit="1" width="10.0" style="5"/>
    <col min="14534" max="14534" customWidth="1" bestFit="1" width="10.0" style="5"/>
    <col min="14535" max="14535" customWidth="1" bestFit="1" width="10.0" style="5"/>
    <col min="14536" max="14536" customWidth="1" bestFit="1" width="10.0" style="5"/>
    <col min="14537" max="14537" customWidth="1" bestFit="1" width="10.0" style="5"/>
    <col min="14538" max="14538" customWidth="1" bestFit="1" width="10.0" style="5"/>
    <col min="14539" max="14539" customWidth="1" bestFit="1" width="10.0" style="5"/>
    <col min="14540" max="14540" customWidth="1" bestFit="1" width="10.0" style="5"/>
    <col min="14541" max="14541" customWidth="1" bestFit="1" width="10.0" style="5"/>
    <col min="14542" max="14542" customWidth="1" bestFit="1" width="10.0" style="5"/>
    <col min="14543" max="14543" customWidth="1" bestFit="1" width="10.0" style="5"/>
    <col min="14544" max="14544" customWidth="1" bestFit="1" width="10.0" style="5"/>
    <col min="14545" max="14545" customWidth="1" bestFit="1" width="10.0" style="5"/>
    <col min="14546" max="14546" customWidth="1" bestFit="1" width="10.0" style="5"/>
    <col min="14547" max="14547" customWidth="1" bestFit="1" width="10.0" style="5"/>
    <col min="14548" max="14548" customWidth="1" bestFit="1" width="10.0" style="5"/>
    <col min="14549" max="14549" customWidth="1" bestFit="1" width="10.0" style="5"/>
    <col min="14550" max="14550" customWidth="1" bestFit="1" width="10.0" style="5"/>
    <col min="14551" max="14551" customWidth="1" bestFit="1" width="10.0" style="5"/>
    <col min="14552" max="14552" customWidth="1" bestFit="1" width="10.0" style="5"/>
    <col min="14553" max="14553" customWidth="1" bestFit="1" width="10.0" style="5"/>
    <col min="14554" max="14554" customWidth="1" bestFit="1" width="10.0" style="5"/>
    <col min="14555" max="14555" customWidth="1" bestFit="1" width="10.0" style="5"/>
    <col min="14556" max="14556" customWidth="1" bestFit="1" width="10.0" style="5"/>
    <col min="14557" max="14557" customWidth="1" bestFit="1" width="10.0" style="5"/>
    <col min="14558" max="14558" customWidth="1" bestFit="1" width="10.0" style="5"/>
    <col min="14559" max="14559" customWidth="1" bestFit="1" width="10.0" style="5"/>
    <col min="14560" max="14560" customWidth="1" bestFit="1" width="10.0" style="5"/>
    <col min="14561" max="14561" customWidth="1" bestFit="1" width="10.0" style="5"/>
    <col min="14562" max="14562" customWidth="1" bestFit="1" width="10.0" style="5"/>
    <col min="14563" max="14563" customWidth="1" bestFit="1" width="10.0" style="5"/>
    <col min="14564" max="14564" customWidth="1" bestFit="1" width="10.0" style="5"/>
    <col min="14565" max="14565" customWidth="1" bestFit="1" width="10.0" style="5"/>
    <col min="14566" max="14566" customWidth="1" bestFit="1" width="10.0" style="5"/>
    <col min="14567" max="14567" customWidth="1" bestFit="1" width="10.0" style="5"/>
    <col min="14568" max="14568" customWidth="1" bestFit="1" width="10.0" style="5"/>
    <col min="14569" max="14569" customWidth="1" bestFit="1" width="10.0" style="5"/>
    <col min="14570" max="14570" customWidth="1" bestFit="1" width="10.0" style="5"/>
    <col min="14571" max="14571" customWidth="1" bestFit="1" width="10.0" style="5"/>
    <col min="14572" max="14572" customWidth="1" bestFit="1" width="10.0" style="5"/>
    <col min="14573" max="14573" customWidth="1" bestFit="1" width="10.0" style="5"/>
    <col min="14574" max="14574" customWidth="1" bestFit="1" width="10.0" style="5"/>
    <col min="14575" max="14575" customWidth="1" bestFit="1" width="10.0" style="5"/>
    <col min="14576" max="14576" customWidth="1" bestFit="1" width="10.0" style="5"/>
    <col min="14577" max="14577" customWidth="1" bestFit="1" width="10.0" style="5"/>
    <col min="14578" max="14578" customWidth="1" bestFit="1" width="10.0" style="5"/>
    <col min="14579" max="14579" customWidth="1" bestFit="1" width="10.0" style="5"/>
    <col min="14580" max="14580" customWidth="1" bestFit="1" width="10.0" style="5"/>
    <col min="14581" max="14581" customWidth="1" bestFit="1" width="10.0" style="5"/>
    <col min="14582" max="14582" customWidth="1" bestFit="1" width="10.0" style="5"/>
    <col min="14583" max="14583" customWidth="1" bestFit="1" width="10.0" style="5"/>
    <col min="14584" max="14584" customWidth="1" bestFit="1" width="10.0" style="5"/>
    <col min="14585" max="14585" customWidth="1" bestFit="1" width="10.0" style="5"/>
    <col min="14586" max="14586" customWidth="1" bestFit="1" width="10.0" style="5"/>
    <col min="14587" max="14587" customWidth="1" bestFit="1" width="10.0" style="5"/>
    <col min="14588" max="14588" customWidth="1" bestFit="1" width="10.0" style="5"/>
    <col min="14589" max="14589" customWidth="1" bestFit="1" width="10.0" style="5"/>
    <col min="14590" max="14590" customWidth="1" bestFit="1" width="10.0" style="5"/>
    <col min="14591" max="14591" customWidth="1" bestFit="1" width="10.0" style="5"/>
    <col min="14592" max="14592" customWidth="1" bestFit="1" width="10.0" style="5"/>
    <col min="14593" max="14593" customWidth="1" bestFit="1" width="10.0" style="5"/>
    <col min="14594" max="14594" customWidth="1" bestFit="1" width="10.0" style="5"/>
    <col min="14595" max="14595" customWidth="1" bestFit="1" width="10.0" style="5"/>
    <col min="14596" max="14596" customWidth="1" bestFit="1" width="10.0" style="5"/>
    <col min="14597" max="14597" customWidth="1" bestFit="1" width="10.0" style="5"/>
    <col min="14598" max="14598" customWidth="1" bestFit="1" width="10.0" style="5"/>
    <col min="14599" max="14599" customWidth="1" bestFit="1" width="10.0" style="5"/>
    <col min="14600" max="14600" customWidth="1" bestFit="1" width="10.0" style="5"/>
    <col min="14601" max="14601" customWidth="1" bestFit="1" width="10.0" style="5"/>
    <col min="14602" max="14602" customWidth="1" bestFit="1" width="10.0" style="5"/>
    <col min="14603" max="14603" customWidth="1" bestFit="1" width="10.0" style="5"/>
    <col min="14604" max="14604" customWidth="1" bestFit="1" width="10.0" style="5"/>
    <col min="14605" max="14605" customWidth="1" bestFit="1" width="10.0" style="5"/>
    <col min="14606" max="14606" customWidth="1" bestFit="1" width="10.0" style="5"/>
    <col min="14607" max="14607" customWidth="1" bestFit="1" width="10.0" style="5"/>
    <col min="14608" max="14608" customWidth="1" bestFit="1" width="10.0" style="5"/>
    <col min="14609" max="14609" customWidth="1" bestFit="1" width="10.0" style="5"/>
    <col min="14610" max="14610" customWidth="1" bestFit="1" width="10.0" style="5"/>
    <col min="14611" max="14611" customWidth="1" bestFit="1" width="10.0" style="5"/>
    <col min="14612" max="14612" customWidth="1" bestFit="1" width="10.0" style="5"/>
    <col min="14613" max="14613" customWidth="1" bestFit="1" width="10.0" style="5"/>
    <col min="14614" max="14614" customWidth="1" bestFit="1" width="10.0" style="5"/>
    <col min="14615" max="14615" customWidth="1" bestFit="1" width="10.0" style="5"/>
    <col min="14616" max="14616" customWidth="1" bestFit="1" width="10.0" style="5"/>
    <col min="14617" max="14617" customWidth="1" bestFit="1" width="10.0" style="5"/>
    <col min="14618" max="14618" customWidth="1" bestFit="1" width="10.0" style="5"/>
    <col min="14619" max="14619" customWidth="1" bestFit="1" width="10.0" style="5"/>
    <col min="14620" max="14620" customWidth="1" bestFit="1" width="10.0" style="5"/>
    <col min="14621" max="14621" customWidth="1" bestFit="1" width="10.0" style="5"/>
    <col min="14622" max="14622" customWidth="1" bestFit="1" width="10.0" style="5"/>
    <col min="14623" max="14623" customWidth="1" bestFit="1" width="10.0" style="5"/>
    <col min="14624" max="14624" customWidth="1" bestFit="1" width="10.0" style="5"/>
    <col min="14625" max="14625" customWidth="1" bestFit="1" width="10.0" style="5"/>
    <col min="14626" max="14626" customWidth="1" bestFit="1" width="10.0" style="5"/>
    <col min="14627" max="14627" customWidth="1" bestFit="1" width="10.0" style="5"/>
    <col min="14628" max="14628" customWidth="1" bestFit="1" width="10.0" style="5"/>
    <col min="14629" max="14629" customWidth="1" bestFit="1" width="10.0" style="5"/>
    <col min="14630" max="14630" customWidth="1" bestFit="1" width="10.0" style="5"/>
    <col min="14631" max="14631" customWidth="1" bestFit="1" width="10.0" style="5"/>
    <col min="14632" max="14632" customWidth="1" bestFit="1" width="10.0" style="5"/>
    <col min="14633" max="14633" customWidth="1" bestFit="1" width="10.0" style="5"/>
    <col min="14634" max="14634" customWidth="1" bestFit="1" width="10.0" style="5"/>
    <col min="14635" max="14635" customWidth="1" bestFit="1" width="10.0" style="5"/>
    <col min="14636" max="14636" customWidth="1" bestFit="1" width="10.0" style="5"/>
    <col min="14637" max="14637" customWidth="1" bestFit="1" width="10.0" style="5"/>
    <col min="14638" max="14638" customWidth="1" bestFit="1" width="10.0" style="5"/>
    <col min="14639" max="14639" customWidth="1" bestFit="1" width="10.0" style="5"/>
    <col min="14640" max="14640" customWidth="1" bestFit="1" width="10.0" style="5"/>
    <col min="14641" max="14641" customWidth="1" bestFit="1" width="10.0" style="5"/>
    <col min="14642" max="14642" customWidth="1" bestFit="1" width="10.0" style="5"/>
    <col min="14643" max="14643" customWidth="1" bestFit="1" width="10.0" style="5"/>
    <col min="14644" max="14644" customWidth="1" bestFit="1" width="10.0" style="5"/>
    <col min="14645" max="14645" customWidth="1" bestFit="1" width="10.0" style="5"/>
    <col min="14646" max="14646" customWidth="1" bestFit="1" width="10.0" style="5"/>
    <col min="14647" max="14647" customWidth="1" bestFit="1" width="10.0" style="5"/>
    <col min="14648" max="14648" customWidth="1" bestFit="1" width="10.0" style="5"/>
    <col min="14649" max="14649" customWidth="1" bestFit="1" width="10.0" style="5"/>
    <col min="14650" max="14650" customWidth="1" bestFit="1" width="10.0" style="5"/>
    <col min="14651" max="14651" customWidth="1" bestFit="1" width="10.0" style="5"/>
    <col min="14652" max="14652" customWidth="1" bestFit="1" width="10.0" style="5"/>
    <col min="14653" max="14653" customWidth="1" bestFit="1" width="10.0" style="5"/>
    <col min="14654" max="14654" customWidth="1" bestFit="1" width="10.0" style="5"/>
    <col min="14655" max="14655" customWidth="1" bestFit="1" width="10.0" style="5"/>
    <col min="14656" max="14656" customWidth="1" bestFit="1" width="10.0" style="5"/>
    <col min="14657" max="14657" customWidth="1" bestFit="1" width="10.0" style="5"/>
    <col min="14658" max="14658" customWidth="1" bestFit="1" width="10.0" style="5"/>
    <col min="14659" max="14659" customWidth="1" bestFit="1" width="10.0" style="5"/>
    <col min="14660" max="14660" customWidth="1" bestFit="1" width="10.0" style="5"/>
    <col min="14661" max="14661" customWidth="1" bestFit="1" width="10.0" style="5"/>
    <col min="14662" max="14662" customWidth="1" bestFit="1" width="10.0" style="5"/>
    <col min="14663" max="14663" customWidth="1" bestFit="1" width="10.0" style="5"/>
    <col min="14664" max="14664" customWidth="1" bestFit="1" width="10.0" style="5"/>
    <col min="14665" max="14665" customWidth="1" bestFit="1" width="10.0" style="5"/>
    <col min="14666" max="14666" customWidth="1" bestFit="1" width="10.0" style="5"/>
    <col min="14667" max="14667" customWidth="1" bestFit="1" width="10.0" style="5"/>
    <col min="14668" max="14668" customWidth="1" bestFit="1" width="10.0" style="5"/>
    <col min="14669" max="14669" customWidth="1" bestFit="1" width="10.0" style="5"/>
    <col min="14670" max="14670" customWidth="1" bestFit="1" width="10.0" style="5"/>
    <col min="14671" max="14671" customWidth="1" bestFit="1" width="10.0" style="5"/>
    <col min="14672" max="14672" customWidth="1" bestFit="1" width="10.0" style="5"/>
    <col min="14673" max="14673" customWidth="1" bestFit="1" width="10.0" style="5"/>
    <col min="14674" max="14674" customWidth="1" bestFit="1" width="10.0" style="5"/>
    <col min="14675" max="14675" customWidth="1" bestFit="1" width="10.0" style="5"/>
    <col min="14676" max="14676" customWidth="1" bestFit="1" width="10.0" style="5"/>
    <col min="14677" max="14677" customWidth="1" bestFit="1" width="10.0" style="5"/>
    <col min="14678" max="14678" customWidth="1" bestFit="1" width="10.0" style="5"/>
    <col min="14679" max="14679" customWidth="1" bestFit="1" width="10.0" style="5"/>
    <col min="14680" max="14680" customWidth="1" bestFit="1" width="10.0" style="5"/>
    <col min="14681" max="14681" customWidth="1" bestFit="1" width="10.0" style="5"/>
    <col min="14682" max="14682" customWidth="1" bestFit="1" width="10.0" style="5"/>
    <col min="14683" max="14683" customWidth="1" bestFit="1" width="10.0" style="5"/>
    <col min="14684" max="14684" customWidth="1" bestFit="1" width="10.0" style="5"/>
    <col min="14685" max="14685" customWidth="1" bestFit="1" width="10.0" style="5"/>
    <col min="14686" max="14686" customWidth="1" bestFit="1" width="10.0" style="5"/>
    <col min="14687" max="14687" customWidth="1" bestFit="1" width="10.0" style="5"/>
    <col min="14688" max="14688" customWidth="1" bestFit="1" width="10.0" style="5"/>
    <col min="14689" max="14689" customWidth="1" bestFit="1" width="10.0" style="5"/>
    <col min="14690" max="14690" customWidth="1" bestFit="1" width="10.0" style="5"/>
    <col min="14691" max="14691" customWidth="1" bestFit="1" width="10.0" style="5"/>
    <col min="14692" max="14692" customWidth="1" bestFit="1" width="10.0" style="5"/>
    <col min="14693" max="14693" customWidth="1" bestFit="1" width="10.0" style="5"/>
    <col min="14694" max="14694" customWidth="1" bestFit="1" width="10.0" style="5"/>
    <col min="14695" max="14695" customWidth="1" bestFit="1" width="10.0" style="5"/>
    <col min="14696" max="14696" customWidth="1" bestFit="1" width="10.0" style="5"/>
    <col min="14697" max="14697" customWidth="1" bestFit="1" width="10.0" style="5"/>
    <col min="14698" max="14698" customWidth="1" bestFit="1" width="10.0" style="5"/>
    <col min="14699" max="14699" customWidth="1" bestFit="1" width="10.0" style="5"/>
    <col min="14700" max="14700" customWidth="1" bestFit="1" width="10.0" style="5"/>
    <col min="14701" max="14701" customWidth="1" bestFit="1" width="10.0" style="5"/>
    <col min="14702" max="14702" customWidth="1" bestFit="1" width="10.0" style="5"/>
    <col min="14703" max="14703" customWidth="1" bestFit="1" width="10.0" style="5"/>
    <col min="14704" max="14704" customWidth="1" bestFit="1" width="10.0" style="5"/>
    <col min="14705" max="14705" customWidth="1" bestFit="1" width="10.0" style="5"/>
    <col min="14706" max="14706" customWidth="1" bestFit="1" width="10.0" style="5"/>
    <col min="14707" max="14707" customWidth="1" bestFit="1" width="10.0" style="5"/>
    <col min="14708" max="14708" customWidth="1" bestFit="1" width="10.0" style="5"/>
    <col min="14709" max="14709" customWidth="1" bestFit="1" width="10.0" style="5"/>
    <col min="14710" max="14710" customWidth="1" bestFit="1" width="10.0" style="5"/>
    <col min="14711" max="14711" customWidth="1" bestFit="1" width="10.0" style="5"/>
    <col min="14712" max="14712" customWidth="1" bestFit="1" width="10.0" style="5"/>
    <col min="14713" max="14713" customWidth="1" bestFit="1" width="10.0" style="5"/>
    <col min="14714" max="14714" customWidth="1" bestFit="1" width="10.0" style="5"/>
    <col min="14715" max="14715" customWidth="1" bestFit="1" width="10.0" style="5"/>
    <col min="14716" max="14716" customWidth="1" bestFit="1" width="10.0" style="5"/>
    <col min="14717" max="14717" customWidth="1" bestFit="1" width="10.0" style="5"/>
    <col min="14718" max="14718" customWidth="1" bestFit="1" width="10.0" style="5"/>
    <col min="14719" max="14719" customWidth="1" bestFit="1" width="10.0" style="5"/>
    <col min="14720" max="14720" customWidth="1" bestFit="1" width="10.0" style="5"/>
    <col min="14721" max="14721" customWidth="1" bestFit="1" width="10.0" style="5"/>
    <col min="14722" max="14722" customWidth="1" bestFit="1" width="10.0" style="5"/>
    <col min="14723" max="14723" customWidth="1" bestFit="1" width="10.0" style="5"/>
    <col min="14724" max="14724" customWidth="1" bestFit="1" width="10.0" style="5"/>
    <col min="14725" max="14725" customWidth="1" bestFit="1" width="10.0" style="5"/>
    <col min="14726" max="14726" customWidth="1" bestFit="1" width="10.0" style="5"/>
    <col min="14727" max="14727" customWidth="1" bestFit="1" width="10.0" style="5"/>
    <col min="14728" max="14728" customWidth="1" bestFit="1" width="10.0" style="5"/>
    <col min="14729" max="14729" customWidth="1" bestFit="1" width="10.0" style="5"/>
    <col min="14730" max="14730" customWidth="1" bestFit="1" width="10.0" style="5"/>
    <col min="14731" max="14731" customWidth="1" bestFit="1" width="10.0" style="5"/>
    <col min="14732" max="14732" customWidth="1" bestFit="1" width="10.0" style="5"/>
    <col min="14733" max="14733" customWidth="1" bestFit="1" width="10.0" style="5"/>
    <col min="14734" max="14734" customWidth="1" bestFit="1" width="10.0" style="5"/>
    <col min="14735" max="14735" customWidth="1" bestFit="1" width="10.0" style="5"/>
    <col min="14736" max="14736" customWidth="1" bestFit="1" width="10.0" style="5"/>
    <col min="14737" max="14737" customWidth="1" bestFit="1" width="10.0" style="5"/>
    <col min="14738" max="14738" customWidth="1" bestFit="1" width="10.0" style="5"/>
    <col min="14739" max="14739" customWidth="1" bestFit="1" width="10.0" style="5"/>
    <col min="14740" max="14740" customWidth="1" bestFit="1" width="10.0" style="5"/>
    <col min="14741" max="14741" customWidth="1" bestFit="1" width="10.0" style="5"/>
    <col min="14742" max="14742" customWidth="1" bestFit="1" width="10.0" style="5"/>
    <col min="14743" max="14743" customWidth="1" bestFit="1" width="10.0" style="5"/>
    <col min="14744" max="14744" customWidth="1" bestFit="1" width="10.0" style="5"/>
    <col min="14745" max="14745" customWidth="1" bestFit="1" width="10.0" style="5"/>
    <col min="14746" max="14746" customWidth="1" bestFit="1" width="10.0" style="5"/>
    <col min="14747" max="14747" customWidth="1" bestFit="1" width="10.0" style="5"/>
    <col min="14748" max="14748" customWidth="1" bestFit="1" width="10.0" style="5"/>
    <col min="14749" max="14749" customWidth="1" bestFit="1" width="10.0" style="5"/>
    <col min="14750" max="14750" customWidth="1" bestFit="1" width="10.0" style="5"/>
    <col min="14751" max="14751" customWidth="1" bestFit="1" width="10.0" style="5"/>
    <col min="14752" max="14752" customWidth="1" bestFit="1" width="10.0" style="5"/>
    <col min="14753" max="14753" customWidth="1" bestFit="1" width="10.0" style="5"/>
    <col min="14754" max="14754" customWidth="1" bestFit="1" width="10.0" style="5"/>
    <col min="14755" max="14755" customWidth="1" bestFit="1" width="10.0" style="5"/>
    <col min="14756" max="14756" customWidth="1" bestFit="1" width="10.0" style="5"/>
    <col min="14757" max="14757" customWidth="1" bestFit="1" width="10.0" style="5"/>
    <col min="14758" max="14758" customWidth="1" bestFit="1" width="10.0" style="5"/>
    <col min="14759" max="14759" customWidth="1" bestFit="1" width="10.0" style="5"/>
    <col min="14760" max="14760" customWidth="1" bestFit="1" width="10.0" style="5"/>
    <col min="14761" max="14761" customWidth="1" bestFit="1" width="10.0" style="5"/>
    <col min="14762" max="14762" customWidth="1" bestFit="1" width="10.0" style="5"/>
    <col min="14763" max="14763" customWidth="1" bestFit="1" width="10.0" style="5"/>
    <col min="14764" max="14764" customWidth="1" bestFit="1" width="10.0" style="5"/>
    <col min="14765" max="14765" customWidth="1" bestFit="1" width="10.0" style="5"/>
    <col min="14766" max="14766" customWidth="1" bestFit="1" width="10.0" style="5"/>
    <col min="14767" max="14767" customWidth="1" bestFit="1" width="10.0" style="5"/>
    <col min="14768" max="14768" customWidth="1" bestFit="1" width="10.0" style="5"/>
    <col min="14769" max="14769" customWidth="1" bestFit="1" width="10.0" style="5"/>
    <col min="14770" max="14770" customWidth="1" bestFit="1" width="10.0" style="5"/>
    <col min="14771" max="14771" customWidth="1" bestFit="1" width="10.0" style="5"/>
    <col min="14772" max="14772" customWidth="1" bestFit="1" width="10.0" style="5"/>
    <col min="14773" max="14773" customWidth="1" bestFit="1" width="10.0" style="5"/>
    <col min="14774" max="14774" customWidth="1" bestFit="1" width="10.0" style="5"/>
    <col min="14775" max="14775" customWidth="1" bestFit="1" width="10.0" style="5"/>
    <col min="14776" max="14776" customWidth="1" bestFit="1" width="10.0" style="5"/>
    <col min="14777" max="14777" customWidth="1" bestFit="1" width="10.0" style="5"/>
    <col min="14778" max="14778" customWidth="1" bestFit="1" width="10.0" style="5"/>
    <col min="14779" max="14779" customWidth="1" bestFit="1" width="10.0" style="5"/>
    <col min="14780" max="14780" customWidth="1" bestFit="1" width="10.0" style="5"/>
    <col min="14781" max="14781" customWidth="1" bestFit="1" width="10.0" style="5"/>
    <col min="14782" max="14782" customWidth="1" bestFit="1" width="10.0" style="5"/>
    <col min="14783" max="14783" customWidth="1" bestFit="1" width="10.0" style="5"/>
    <col min="14784" max="14784" customWidth="1" bestFit="1" width="10.0" style="5"/>
    <col min="14785" max="14785" customWidth="1" bestFit="1" width="10.0" style="5"/>
    <col min="14786" max="14786" customWidth="1" bestFit="1" width="10.0" style="5"/>
    <col min="14787" max="14787" customWidth="1" bestFit="1" width="10.0" style="5"/>
    <col min="14788" max="14788" customWidth="1" bestFit="1" width="10.0" style="5"/>
    <col min="14789" max="14789" customWidth="1" bestFit="1" width="10.0" style="5"/>
    <col min="14790" max="14790" customWidth="1" bestFit="1" width="10.0" style="5"/>
    <col min="14791" max="14791" customWidth="1" bestFit="1" width="10.0" style="5"/>
    <col min="14792" max="14792" customWidth="1" bestFit="1" width="10.0" style="5"/>
    <col min="14793" max="14793" customWidth="1" bestFit="1" width="10.0" style="5"/>
    <col min="14794" max="14794" customWidth="1" bestFit="1" width="10.0" style="5"/>
    <col min="14795" max="14795" customWidth="1" bestFit="1" width="10.0" style="5"/>
    <col min="14796" max="14796" customWidth="1" bestFit="1" width="10.0" style="5"/>
    <col min="14797" max="14797" customWidth="1" bestFit="1" width="10.0" style="5"/>
    <col min="14798" max="14798" customWidth="1" bestFit="1" width="10.0" style="5"/>
    <col min="14799" max="14799" customWidth="1" bestFit="1" width="10.0" style="5"/>
    <col min="14800" max="14800" customWidth="1" bestFit="1" width="10.0" style="5"/>
    <col min="14801" max="14801" customWidth="1" bestFit="1" width="10.0" style="5"/>
    <col min="14802" max="14802" customWidth="1" bestFit="1" width="10.0" style="5"/>
    <col min="14803" max="14803" customWidth="1" bestFit="1" width="10.0" style="5"/>
    <col min="14804" max="14804" customWidth="1" bestFit="1" width="10.0" style="5"/>
    <col min="14805" max="14805" customWidth="1" bestFit="1" width="10.0" style="5"/>
    <col min="14806" max="14806" customWidth="1" bestFit="1" width="10.0" style="5"/>
    <col min="14807" max="14807" customWidth="1" bestFit="1" width="10.0" style="5"/>
    <col min="14808" max="14808" customWidth="1" bestFit="1" width="10.0" style="5"/>
    <col min="14809" max="14809" customWidth="1" bestFit="1" width="10.0" style="5"/>
    <col min="14810" max="14810" customWidth="1" bestFit="1" width="10.0" style="5"/>
    <col min="14811" max="14811" customWidth="1" bestFit="1" width="10.0" style="5"/>
    <col min="14812" max="14812" customWidth="1" bestFit="1" width="10.0" style="5"/>
    <col min="14813" max="14813" customWidth="1" bestFit="1" width="10.0" style="5"/>
    <col min="14814" max="14814" customWidth="1" bestFit="1" width="10.0" style="5"/>
    <col min="14815" max="14815" customWidth="1" bestFit="1" width="10.0" style="5"/>
    <col min="14816" max="14816" customWidth="1" bestFit="1" width="10.0" style="5"/>
    <col min="14817" max="14817" customWidth="1" bestFit="1" width="10.0" style="5"/>
    <col min="14818" max="14818" customWidth="1" bestFit="1" width="10.0" style="5"/>
    <col min="14819" max="14819" customWidth="1" bestFit="1" width="10.0" style="5"/>
    <col min="14820" max="14820" customWidth="1" bestFit="1" width="10.0" style="5"/>
    <col min="14821" max="14821" customWidth="1" bestFit="1" width="10.0" style="5"/>
    <col min="14822" max="14822" customWidth="1" bestFit="1" width="10.0" style="5"/>
    <col min="14823" max="14823" customWidth="1" bestFit="1" width="10.0" style="5"/>
    <col min="14824" max="14824" customWidth="1" bestFit="1" width="10.0" style="5"/>
    <col min="14825" max="14825" customWidth="1" bestFit="1" width="10.0" style="5"/>
    <col min="14826" max="14826" customWidth="1" bestFit="1" width="10.0" style="5"/>
    <col min="14827" max="14827" customWidth="1" bestFit="1" width="10.0" style="5"/>
    <col min="14828" max="14828" customWidth="1" bestFit="1" width="10.0" style="5"/>
    <col min="14829" max="14829" customWidth="1" bestFit="1" width="10.0" style="5"/>
    <col min="14830" max="14830" customWidth="1" bestFit="1" width="10.0" style="5"/>
    <col min="14831" max="14831" customWidth="1" bestFit="1" width="10.0" style="5"/>
    <col min="14832" max="14832" customWidth="1" bestFit="1" width="10.0" style="5"/>
    <col min="14833" max="14833" customWidth="1" bestFit="1" width="10.0" style="5"/>
    <col min="14834" max="14834" customWidth="1" bestFit="1" width="10.0" style="5"/>
    <col min="14835" max="14835" customWidth="1" bestFit="1" width="10.0" style="5"/>
    <col min="14836" max="14836" customWidth="1" bestFit="1" width="10.0" style="5"/>
    <col min="14837" max="14837" customWidth="1" bestFit="1" width="10.0" style="5"/>
    <col min="14838" max="14838" customWidth="1" bestFit="1" width="10.0" style="5"/>
    <col min="14839" max="14839" customWidth="1" bestFit="1" width="10.0" style="5"/>
    <col min="14840" max="14840" customWidth="1" bestFit="1" width="10.0" style="5"/>
    <col min="14841" max="14841" customWidth="1" bestFit="1" width="10.0" style="5"/>
    <col min="14842" max="14842" customWidth="1" bestFit="1" width="10.0" style="5"/>
    <col min="14843" max="14843" customWidth="1" bestFit="1" width="10.0" style="5"/>
    <col min="14844" max="14844" customWidth="1" bestFit="1" width="10.0" style="5"/>
    <col min="14845" max="14845" customWidth="1" bestFit="1" width="10.0" style="5"/>
    <col min="14846" max="14846" customWidth="1" bestFit="1" width="10.0" style="5"/>
    <col min="14847" max="14847" customWidth="1" bestFit="1" width="10.0" style="5"/>
    <col min="14848" max="14848" customWidth="1" bestFit="1" width="10.0" style="5"/>
    <col min="14849" max="14849" customWidth="1" bestFit="1" width="10.0" style="5"/>
    <col min="14850" max="14850" customWidth="1" bestFit="1" width="10.0" style="5"/>
    <col min="14851" max="14851" customWidth="1" bestFit="1" width="10.0" style="5"/>
    <col min="14852" max="14852" customWidth="1" bestFit="1" width="10.0" style="5"/>
    <col min="14853" max="14853" customWidth="1" bestFit="1" width="10.0" style="5"/>
    <col min="14854" max="14854" customWidth="1" bestFit="1" width="10.0" style="5"/>
    <col min="14855" max="14855" customWidth="1" bestFit="1" width="10.0" style="5"/>
    <col min="14856" max="14856" customWidth="1" bestFit="1" width="10.0" style="5"/>
    <col min="14857" max="14857" customWidth="1" bestFit="1" width="10.0" style="5"/>
    <col min="14858" max="14858" customWidth="1" bestFit="1" width="10.0" style="5"/>
    <col min="14859" max="14859" customWidth="1" bestFit="1" width="10.0" style="5"/>
    <col min="14860" max="14860" customWidth="1" bestFit="1" width="10.0" style="5"/>
    <col min="14861" max="14861" customWidth="1" bestFit="1" width="10.0" style="5"/>
    <col min="14862" max="14862" customWidth="1" bestFit="1" width="10.0" style="5"/>
    <col min="14863" max="14863" customWidth="1" bestFit="1" width="10.0" style="5"/>
    <col min="14864" max="14864" customWidth="1" bestFit="1" width="10.0" style="5"/>
    <col min="14865" max="14865" customWidth="1" bestFit="1" width="10.0" style="5"/>
    <col min="14866" max="14866" customWidth="1" bestFit="1" width="10.0" style="5"/>
    <col min="14867" max="14867" customWidth="1" bestFit="1" width="10.0" style="5"/>
    <col min="14868" max="14868" customWidth="1" bestFit="1" width="10.0" style="5"/>
    <col min="14869" max="14869" customWidth="1" bestFit="1" width="10.0" style="5"/>
    <col min="14870" max="14870" customWidth="1" bestFit="1" width="10.0" style="5"/>
    <col min="14871" max="14871" customWidth="1" bestFit="1" width="10.0" style="5"/>
    <col min="14872" max="14872" customWidth="1" bestFit="1" width="10.0" style="5"/>
    <col min="14873" max="14873" customWidth="1" bestFit="1" width="10.0" style="5"/>
    <col min="14874" max="14874" customWidth="1" bestFit="1" width="10.0" style="5"/>
    <col min="14875" max="14875" customWidth="1" bestFit="1" width="10.0" style="5"/>
    <col min="14876" max="14876" customWidth="1" bestFit="1" width="10.0" style="5"/>
    <col min="14877" max="14877" customWidth="1" bestFit="1" width="10.0" style="5"/>
    <col min="14878" max="14878" customWidth="1" bestFit="1" width="10.0" style="5"/>
    <col min="14879" max="14879" customWidth="1" bestFit="1" width="10.0" style="5"/>
    <col min="14880" max="14880" customWidth="1" bestFit="1" width="10.0" style="5"/>
    <col min="14881" max="14881" customWidth="1" bestFit="1" width="10.0" style="5"/>
    <col min="14882" max="14882" customWidth="1" bestFit="1" width="10.0" style="5"/>
    <col min="14883" max="14883" customWidth="1" bestFit="1" width="10.0" style="5"/>
    <col min="14884" max="14884" customWidth="1" bestFit="1" width="10.0" style="5"/>
    <col min="14885" max="14885" customWidth="1" bestFit="1" width="10.0" style="5"/>
    <col min="14886" max="14886" customWidth="1" bestFit="1" width="10.0" style="5"/>
    <col min="14887" max="14887" customWidth="1" bestFit="1" width="10.0" style="5"/>
    <col min="14888" max="14888" customWidth="1" bestFit="1" width="10.0" style="5"/>
    <col min="14889" max="14889" customWidth="1" bestFit="1" width="10.0" style="5"/>
    <col min="14890" max="14890" customWidth="1" bestFit="1" width="10.0" style="5"/>
    <col min="14891" max="14891" customWidth="1" bestFit="1" width="10.0" style="5"/>
    <col min="14892" max="14892" customWidth="1" bestFit="1" width="10.0" style="5"/>
    <col min="14893" max="14893" customWidth="1" bestFit="1" width="10.0" style="5"/>
    <col min="14894" max="14894" customWidth="1" bestFit="1" width="10.0" style="5"/>
    <col min="14895" max="14895" customWidth="1" bestFit="1" width="10.0" style="5"/>
    <col min="14896" max="14896" customWidth="1" bestFit="1" width="10.0" style="5"/>
    <col min="14897" max="14897" customWidth="1" bestFit="1" width="10.0" style="5"/>
    <col min="14898" max="14898" customWidth="1" bestFit="1" width="10.0" style="5"/>
    <col min="14899" max="14899" customWidth="1" bestFit="1" width="10.0" style="5"/>
    <col min="14900" max="14900" customWidth="1" bestFit="1" width="10.0" style="5"/>
    <col min="14901" max="14901" customWidth="1" bestFit="1" width="10.0" style="5"/>
    <col min="14902" max="14902" customWidth="1" bestFit="1" width="10.0" style="5"/>
    <col min="14903" max="14903" customWidth="1" bestFit="1" width="10.0" style="5"/>
    <col min="14904" max="14904" customWidth="1" bestFit="1" width="10.0" style="5"/>
    <col min="14905" max="14905" customWidth="1" bestFit="1" width="10.0" style="5"/>
    <col min="14906" max="14906" customWidth="1" bestFit="1" width="10.0" style="5"/>
    <col min="14907" max="14907" customWidth="1" bestFit="1" width="10.0" style="5"/>
    <col min="14908" max="14908" customWidth="1" bestFit="1" width="10.0" style="5"/>
    <col min="14909" max="14909" customWidth="1" bestFit="1" width="10.0" style="5"/>
    <col min="14910" max="14910" customWidth="1" bestFit="1" width="10.0" style="5"/>
    <col min="14911" max="14911" customWidth="1" bestFit="1" width="10.0" style="5"/>
    <col min="14912" max="14912" customWidth="1" bestFit="1" width="10.0" style="5"/>
    <col min="14913" max="14913" customWidth="1" bestFit="1" width="10.0" style="5"/>
    <col min="14914" max="14914" customWidth="1" bestFit="1" width="10.0" style="5"/>
    <col min="14915" max="14915" customWidth="1" bestFit="1" width="10.0" style="5"/>
    <col min="14916" max="14916" customWidth="1" bestFit="1" width="10.0" style="5"/>
    <col min="14917" max="14917" customWidth="1" bestFit="1" width="10.0" style="5"/>
    <col min="14918" max="14918" customWidth="1" bestFit="1" width="10.0" style="5"/>
    <col min="14919" max="14919" customWidth="1" bestFit="1" width="10.0" style="5"/>
    <col min="14920" max="14920" customWidth="1" bestFit="1" width="10.0" style="5"/>
    <col min="14921" max="14921" customWidth="1" bestFit="1" width="10.0" style="5"/>
    <col min="14922" max="14922" customWidth="1" bestFit="1" width="10.0" style="5"/>
    <col min="14923" max="14923" customWidth="1" bestFit="1" width="10.0" style="5"/>
    <col min="14924" max="14924" customWidth="1" bestFit="1" width="10.0" style="5"/>
    <col min="14925" max="14925" customWidth="1" bestFit="1" width="10.0" style="5"/>
    <col min="14926" max="14926" customWidth="1" bestFit="1" width="10.0" style="5"/>
    <col min="14927" max="14927" customWidth="1" bestFit="1" width="10.0" style="5"/>
    <col min="14928" max="14928" customWidth="1" bestFit="1" width="10.0" style="5"/>
    <col min="14929" max="14929" customWidth="1" bestFit="1" width="10.0" style="5"/>
    <col min="14930" max="14930" customWidth="1" bestFit="1" width="10.0" style="5"/>
    <col min="14931" max="14931" customWidth="1" bestFit="1" width="10.0" style="5"/>
    <col min="14932" max="14932" customWidth="1" bestFit="1" width="10.0" style="5"/>
    <col min="14933" max="14933" customWidth="1" bestFit="1" width="10.0" style="5"/>
    <col min="14934" max="14934" customWidth="1" bestFit="1" width="10.0" style="5"/>
    <col min="14935" max="14935" customWidth="1" bestFit="1" width="10.0" style="5"/>
    <col min="14936" max="14936" customWidth="1" bestFit="1" width="10.0" style="5"/>
    <col min="14937" max="14937" customWidth="1" bestFit="1" width="10.0" style="5"/>
    <col min="14938" max="14938" customWidth="1" bestFit="1" width="10.0" style="5"/>
    <col min="14939" max="14939" customWidth="1" bestFit="1" width="10.0" style="5"/>
    <col min="14940" max="14940" customWidth="1" bestFit="1" width="10.0" style="5"/>
    <col min="14941" max="14941" customWidth="1" bestFit="1" width="10.0" style="5"/>
    <col min="14942" max="14942" customWidth="1" bestFit="1" width="10.0" style="5"/>
    <col min="14943" max="14943" customWidth="1" bestFit="1" width="10.0" style="5"/>
    <col min="14944" max="14944" customWidth="1" bestFit="1" width="10.0" style="5"/>
    <col min="14945" max="14945" customWidth="1" bestFit="1" width="10.0" style="5"/>
    <col min="14946" max="14946" customWidth="1" bestFit="1" width="10.0" style="5"/>
    <col min="14947" max="14947" customWidth="1" bestFit="1" width="10.0" style="5"/>
    <col min="14948" max="14948" customWidth="1" bestFit="1" width="10.0" style="5"/>
    <col min="14949" max="14949" customWidth="1" bestFit="1" width="10.0" style="5"/>
    <col min="14950" max="14950" customWidth="1" bestFit="1" width="10.0" style="5"/>
    <col min="14951" max="14951" customWidth="1" bestFit="1" width="10.0" style="5"/>
    <col min="14952" max="14952" customWidth="1" bestFit="1" width="10.0" style="5"/>
    <col min="14953" max="14953" customWidth="1" bestFit="1" width="10.0" style="5"/>
    <col min="14954" max="14954" customWidth="1" bestFit="1" width="10.0" style="5"/>
    <col min="14955" max="14955" customWidth="1" bestFit="1" width="10.0" style="5"/>
    <col min="14956" max="14956" customWidth="1" bestFit="1" width="10.0" style="5"/>
    <col min="14957" max="14957" customWidth="1" bestFit="1" width="10.0" style="5"/>
    <col min="14958" max="14958" customWidth="1" bestFit="1" width="10.0" style="5"/>
    <col min="14959" max="14959" customWidth="1" bestFit="1" width="10.0" style="5"/>
    <col min="14960" max="14960" customWidth="1" bestFit="1" width="10.0" style="5"/>
    <col min="14961" max="14961" customWidth="1" bestFit="1" width="10.0" style="5"/>
    <col min="14962" max="14962" customWidth="1" bestFit="1" width="10.0" style="5"/>
    <col min="14963" max="14963" customWidth="1" bestFit="1" width="10.0" style="5"/>
    <col min="14964" max="14964" customWidth="1" bestFit="1" width="10.0" style="5"/>
    <col min="14965" max="14965" customWidth="1" bestFit="1" width="10.0" style="5"/>
    <col min="14966" max="14966" customWidth="1" bestFit="1" width="10.0" style="5"/>
    <col min="14967" max="14967" customWidth="1" bestFit="1" width="10.0" style="5"/>
    <col min="14968" max="14968" customWidth="1" bestFit="1" width="10.0" style="5"/>
    <col min="14969" max="14969" customWidth="1" bestFit="1" width="10.0" style="5"/>
    <col min="14970" max="14970" customWidth="1" bestFit="1" width="10.0" style="5"/>
    <col min="14971" max="14971" customWidth="1" bestFit="1" width="10.0" style="5"/>
    <col min="14972" max="14972" customWidth="1" bestFit="1" width="10.0" style="5"/>
    <col min="14973" max="14973" customWidth="1" bestFit="1" width="10.0" style="5"/>
    <col min="14974" max="14974" customWidth="1" bestFit="1" width="10.0" style="5"/>
    <col min="14975" max="14975" customWidth="1" bestFit="1" width="10.0" style="5"/>
    <col min="14976" max="14976" customWidth="1" bestFit="1" width="10.0" style="5"/>
    <col min="14977" max="14977" customWidth="1" bestFit="1" width="10.0" style="5"/>
    <col min="14978" max="14978" customWidth="1" bestFit="1" width="10.0" style="5"/>
    <col min="14979" max="14979" customWidth="1" bestFit="1" width="10.0" style="5"/>
    <col min="14980" max="14980" customWidth="1" bestFit="1" width="10.0" style="5"/>
    <col min="14981" max="14981" customWidth="1" bestFit="1" width="10.0" style="5"/>
    <col min="14982" max="14982" customWidth="1" bestFit="1" width="10.0" style="5"/>
    <col min="14983" max="14983" customWidth="1" bestFit="1" width="10.0" style="5"/>
    <col min="14984" max="14984" customWidth="1" bestFit="1" width="10.0" style="5"/>
    <col min="14985" max="14985" customWidth="1" bestFit="1" width="10.0" style="5"/>
    <col min="14986" max="14986" customWidth="1" bestFit="1" width="10.0" style="5"/>
    <col min="14987" max="14987" customWidth="1" bestFit="1" width="10.0" style="5"/>
    <col min="14988" max="14988" customWidth="1" bestFit="1" width="10.0" style="5"/>
    <col min="14989" max="14989" customWidth="1" bestFit="1" width="10.0" style="5"/>
    <col min="14990" max="14990" customWidth="1" bestFit="1" width="10.0" style="5"/>
    <col min="14991" max="14991" customWidth="1" bestFit="1" width="10.0" style="5"/>
    <col min="14992" max="14992" customWidth="1" bestFit="1" width="10.0" style="5"/>
    <col min="14993" max="14993" customWidth="1" bestFit="1" width="10.0" style="5"/>
    <col min="14994" max="14994" customWidth="1" bestFit="1" width="10.0" style="5"/>
    <col min="14995" max="14995" customWidth="1" bestFit="1" width="10.0" style="5"/>
    <col min="14996" max="14996" customWidth="1" bestFit="1" width="10.0" style="5"/>
    <col min="14997" max="14997" customWidth="1" bestFit="1" width="10.0" style="5"/>
    <col min="14998" max="14998" customWidth="1" bestFit="1" width="10.0" style="5"/>
    <col min="14999" max="14999" customWidth="1" bestFit="1" width="10.0" style="5"/>
    <col min="15000" max="15000" customWidth="1" bestFit="1" width="10.0" style="5"/>
    <col min="15001" max="15001" customWidth="1" bestFit="1" width="10.0" style="5"/>
    <col min="15002" max="15002" customWidth="1" bestFit="1" width="10.0" style="5"/>
    <col min="15003" max="15003" customWidth="1" bestFit="1" width="10.0" style="5"/>
    <col min="15004" max="15004" customWidth="1" bestFit="1" width="10.0" style="5"/>
    <col min="15005" max="15005" customWidth="1" bestFit="1" width="10.0" style="5"/>
    <col min="15006" max="15006" customWidth="1" bestFit="1" width="10.0" style="5"/>
    <col min="15007" max="15007" customWidth="1" bestFit="1" width="10.0" style="5"/>
    <col min="15008" max="15008" customWidth="1" bestFit="1" width="10.0" style="5"/>
    <col min="15009" max="15009" customWidth="1" bestFit="1" width="10.0" style="5"/>
    <col min="15010" max="15010" customWidth="1" bestFit="1" width="10.0" style="5"/>
    <col min="15011" max="15011" customWidth="1" bestFit="1" width="10.0" style="5"/>
    <col min="15012" max="15012" customWidth="1" bestFit="1" width="10.0" style="5"/>
    <col min="15013" max="15013" customWidth="1" bestFit="1" width="10.0" style="5"/>
    <col min="15014" max="15014" customWidth="1" bestFit="1" width="10.0" style="5"/>
    <col min="15015" max="15015" customWidth="1" bestFit="1" width="10.0" style="5"/>
    <col min="15016" max="15016" customWidth="1" bestFit="1" width="10.0" style="5"/>
    <col min="15017" max="15017" customWidth="1" bestFit="1" width="10.0" style="5"/>
    <col min="15018" max="15018" customWidth="1" bestFit="1" width="10.0" style="5"/>
    <col min="15019" max="15019" customWidth="1" bestFit="1" width="10.0" style="5"/>
    <col min="15020" max="15020" customWidth="1" bestFit="1" width="10.0" style="5"/>
    <col min="15021" max="15021" customWidth="1" bestFit="1" width="10.0" style="5"/>
    <col min="15022" max="15022" customWidth="1" bestFit="1" width="10.0" style="5"/>
    <col min="15023" max="15023" customWidth="1" bestFit="1" width="10.0" style="5"/>
    <col min="15024" max="15024" customWidth="1" bestFit="1" width="10.0" style="5"/>
    <col min="15025" max="15025" customWidth="1" bestFit="1" width="10.0" style="5"/>
    <col min="15026" max="15026" customWidth="1" bestFit="1" width="10.0" style="5"/>
    <col min="15027" max="15027" customWidth="1" bestFit="1" width="10.0" style="5"/>
    <col min="15028" max="15028" customWidth="1" bestFit="1" width="10.0" style="5"/>
    <col min="15029" max="15029" customWidth="1" bestFit="1" width="10.0" style="5"/>
    <col min="15030" max="15030" customWidth="1" bestFit="1" width="10.0" style="5"/>
    <col min="15031" max="15031" customWidth="1" bestFit="1" width="10.0" style="5"/>
    <col min="15032" max="15032" customWidth="1" bestFit="1" width="10.0" style="5"/>
    <col min="15033" max="15033" customWidth="1" bestFit="1" width="10.0" style="5"/>
    <col min="15034" max="15034" customWidth="1" bestFit="1" width="10.0" style="5"/>
    <col min="15035" max="15035" customWidth="1" bestFit="1" width="10.0" style="5"/>
    <col min="15036" max="15036" customWidth="1" bestFit="1" width="10.0" style="5"/>
    <col min="15037" max="15037" customWidth="1" bestFit="1" width="10.0" style="5"/>
    <col min="15038" max="15038" customWidth="1" bestFit="1" width="10.0" style="5"/>
    <col min="15039" max="15039" customWidth="1" bestFit="1" width="10.0" style="5"/>
    <col min="15040" max="15040" customWidth="1" bestFit="1" width="10.0" style="5"/>
    <col min="15041" max="15041" customWidth="1" bestFit="1" width="10.0" style="5"/>
    <col min="15042" max="15042" customWidth="1" bestFit="1" width="10.0" style="5"/>
    <col min="15043" max="15043" customWidth="1" bestFit="1" width="10.0" style="5"/>
    <col min="15044" max="15044" customWidth="1" bestFit="1" width="10.0" style="5"/>
    <col min="15045" max="15045" customWidth="1" bestFit="1" width="10.0" style="5"/>
    <col min="15046" max="15046" customWidth="1" bestFit="1" width="10.0" style="5"/>
    <col min="15047" max="15047" customWidth="1" bestFit="1" width="10.0" style="5"/>
    <col min="15048" max="15048" customWidth="1" bestFit="1" width="10.0" style="5"/>
    <col min="15049" max="15049" customWidth="1" bestFit="1" width="10.0" style="5"/>
    <col min="15050" max="15050" customWidth="1" bestFit="1" width="10.0" style="5"/>
    <col min="15051" max="15051" customWidth="1" bestFit="1" width="10.0" style="5"/>
    <col min="15052" max="15052" customWidth="1" bestFit="1" width="10.0" style="5"/>
    <col min="15053" max="15053" customWidth="1" bestFit="1" width="10.0" style="5"/>
    <col min="15054" max="15054" customWidth="1" bestFit="1" width="10.0" style="5"/>
    <col min="15055" max="15055" customWidth="1" bestFit="1" width="10.0" style="5"/>
    <col min="15056" max="15056" customWidth="1" bestFit="1" width="10.0" style="5"/>
    <col min="15057" max="15057" customWidth="1" bestFit="1" width="10.0" style="5"/>
    <col min="15058" max="15058" customWidth="1" bestFit="1" width="10.0" style="5"/>
    <col min="15059" max="15059" customWidth="1" bestFit="1" width="10.0" style="5"/>
    <col min="15060" max="15060" customWidth="1" bestFit="1" width="10.0" style="5"/>
    <col min="15061" max="15061" customWidth="1" bestFit="1" width="10.0" style="5"/>
    <col min="15062" max="15062" customWidth="1" bestFit="1" width="10.0" style="5"/>
    <col min="15063" max="15063" customWidth="1" bestFit="1" width="10.0" style="5"/>
    <col min="15064" max="15064" customWidth="1" bestFit="1" width="10.0" style="5"/>
    <col min="15065" max="15065" customWidth="1" bestFit="1" width="10.0" style="5"/>
    <col min="15066" max="15066" customWidth="1" bestFit="1" width="10.0" style="5"/>
    <col min="15067" max="15067" customWidth="1" bestFit="1" width="10.0" style="5"/>
    <col min="15068" max="15068" customWidth="1" bestFit="1" width="10.0" style="5"/>
    <col min="15069" max="15069" customWidth="1" bestFit="1" width="10.0" style="5"/>
    <col min="15070" max="15070" customWidth="1" bestFit="1" width="10.0" style="5"/>
    <col min="15071" max="15071" customWidth="1" bestFit="1" width="10.0" style="5"/>
    <col min="15072" max="15072" customWidth="1" bestFit="1" width="10.0" style="5"/>
    <col min="15073" max="15073" customWidth="1" bestFit="1" width="10.0" style="5"/>
    <col min="15074" max="15074" customWidth="1" bestFit="1" width="10.0" style="5"/>
    <col min="15075" max="15075" customWidth="1" bestFit="1" width="10.0" style="5"/>
    <col min="15076" max="15076" customWidth="1" bestFit="1" width="10.0" style="5"/>
    <col min="15077" max="15077" customWidth="1" bestFit="1" width="10.0" style="5"/>
    <col min="15078" max="15078" customWidth="1" bestFit="1" width="10.0" style="5"/>
    <col min="15079" max="15079" customWidth="1" bestFit="1" width="10.0" style="5"/>
    <col min="15080" max="15080" customWidth="1" bestFit="1" width="10.0" style="5"/>
    <col min="15081" max="15081" customWidth="1" bestFit="1" width="10.0" style="5"/>
    <col min="15082" max="15082" customWidth="1" bestFit="1" width="10.0" style="5"/>
    <col min="15083" max="15083" customWidth="1" bestFit="1" width="10.0" style="5"/>
    <col min="15084" max="15084" customWidth="1" bestFit="1" width="10.0" style="5"/>
    <col min="15085" max="15085" customWidth="1" bestFit="1" width="10.0" style="5"/>
    <col min="15086" max="15086" customWidth="1" bestFit="1" width="10.0" style="5"/>
    <col min="15087" max="15087" customWidth="1" bestFit="1" width="10.0" style="5"/>
    <col min="15088" max="15088" customWidth="1" bestFit="1" width="10.0" style="5"/>
    <col min="15089" max="15089" customWidth="1" bestFit="1" width="10.0" style="5"/>
    <col min="15090" max="15090" customWidth="1" bestFit="1" width="10.0" style="5"/>
    <col min="15091" max="15091" customWidth="1" bestFit="1" width="10.0" style="5"/>
    <col min="15092" max="15092" customWidth="1" bestFit="1" width="10.0" style="5"/>
    <col min="15093" max="15093" customWidth="1" bestFit="1" width="10.0" style="5"/>
    <col min="15094" max="15094" customWidth="1" bestFit="1" width="10.0" style="5"/>
    <col min="15095" max="15095" customWidth="1" bestFit="1" width="10.0" style="5"/>
    <col min="15096" max="15096" customWidth="1" bestFit="1" width="10.0" style="5"/>
    <col min="15097" max="15097" customWidth="1" bestFit="1" width="10.0" style="5"/>
    <col min="15098" max="15098" customWidth="1" bestFit="1" width="10.0" style="5"/>
    <col min="15099" max="15099" customWidth="1" bestFit="1" width="10.0" style="5"/>
    <col min="15100" max="15100" customWidth="1" bestFit="1" width="10.0" style="5"/>
    <col min="15101" max="15101" customWidth="1" bestFit="1" width="10.0" style="5"/>
    <col min="15102" max="15102" customWidth="1" bestFit="1" width="10.0" style="5"/>
    <col min="15103" max="15103" customWidth="1" bestFit="1" width="10.0" style="5"/>
    <col min="15104" max="15104" customWidth="1" bestFit="1" width="10.0" style="5"/>
    <col min="15105" max="15105" customWidth="1" bestFit="1" width="10.0" style="5"/>
    <col min="15106" max="15106" customWidth="1" bestFit="1" width="10.0" style="5"/>
    <col min="15107" max="15107" customWidth="1" bestFit="1" width="10.0" style="5"/>
    <col min="15108" max="15108" customWidth="1" bestFit="1" width="10.0" style="5"/>
    <col min="15109" max="15109" customWidth="1" bestFit="1" width="10.0" style="5"/>
    <col min="15110" max="15110" customWidth="1" bestFit="1" width="10.0" style="5"/>
    <col min="15111" max="15111" customWidth="1" bestFit="1" width="10.0" style="5"/>
    <col min="15112" max="15112" customWidth="1" bestFit="1" width="10.0" style="5"/>
    <col min="15113" max="15113" customWidth="1" bestFit="1" width="10.0" style="5"/>
    <col min="15114" max="15114" customWidth="1" bestFit="1" width="10.0" style="5"/>
    <col min="15115" max="15115" customWidth="1" bestFit="1" width="10.0" style="5"/>
    <col min="15116" max="15116" customWidth="1" bestFit="1" width="10.0" style="5"/>
    <col min="15117" max="15117" customWidth="1" bestFit="1" width="10.0" style="5"/>
    <col min="15118" max="15118" customWidth="1" bestFit="1" width="10.0" style="5"/>
    <col min="15119" max="15119" customWidth="1" bestFit="1" width="10.0" style="5"/>
    <col min="15120" max="15120" customWidth="1" bestFit="1" width="10.0" style="5"/>
    <col min="15121" max="15121" customWidth="1" bestFit="1" width="10.0" style="5"/>
    <col min="15122" max="15122" customWidth="1" bestFit="1" width="10.0" style="5"/>
    <col min="15123" max="15123" customWidth="1" bestFit="1" width="10.0" style="5"/>
    <col min="15124" max="15124" customWidth="1" bestFit="1" width="10.0" style="5"/>
    <col min="15125" max="15125" customWidth="1" bestFit="1" width="10.0" style="5"/>
    <col min="15126" max="15126" customWidth="1" bestFit="1" width="10.0" style="5"/>
    <col min="15127" max="15127" customWidth="1" bestFit="1" width="10.0" style="5"/>
    <col min="15128" max="15128" customWidth="1" bestFit="1" width="10.0" style="5"/>
    <col min="15129" max="15129" customWidth="1" bestFit="1" width="10.0" style="5"/>
    <col min="15130" max="15130" customWidth="1" bestFit="1" width="10.0" style="5"/>
    <col min="15131" max="15131" customWidth="1" bestFit="1" width="10.0" style="5"/>
    <col min="15132" max="15132" customWidth="1" bestFit="1" width="10.0" style="5"/>
    <col min="15133" max="15133" customWidth="1" bestFit="1" width="10.0" style="5"/>
    <col min="15134" max="15134" customWidth="1" bestFit="1" width="10.0" style="5"/>
    <col min="15135" max="15135" customWidth="1" bestFit="1" width="10.0" style="5"/>
    <col min="15136" max="15136" customWidth="1" bestFit="1" width="10.0" style="5"/>
    <col min="15137" max="15137" customWidth="1" bestFit="1" width="10.0" style="5"/>
    <col min="15138" max="15138" customWidth="1" bestFit="1" width="10.0" style="5"/>
    <col min="15139" max="15139" customWidth="1" bestFit="1" width="10.0" style="5"/>
    <col min="15140" max="15140" customWidth="1" bestFit="1" width="10.0" style="5"/>
    <col min="15141" max="15141" customWidth="1" bestFit="1" width="10.0" style="5"/>
    <col min="15142" max="15142" customWidth="1" bestFit="1" width="10.0" style="5"/>
    <col min="15143" max="15143" customWidth="1" bestFit="1" width="10.0" style="5"/>
    <col min="15144" max="15144" customWidth="1" bestFit="1" width="10.0" style="5"/>
    <col min="15145" max="15145" customWidth="1" bestFit="1" width="10.0" style="5"/>
    <col min="15146" max="15146" customWidth="1" bestFit="1" width="10.0" style="5"/>
    <col min="15147" max="15147" customWidth="1" bestFit="1" width="10.0" style="5"/>
    <col min="15148" max="15148" customWidth="1" bestFit="1" width="10.0" style="5"/>
    <col min="15149" max="15149" customWidth="1" bestFit="1" width="10.0" style="5"/>
    <col min="15150" max="15150" customWidth="1" bestFit="1" width="10.0" style="5"/>
    <col min="15151" max="15151" customWidth="1" bestFit="1" width="10.0" style="5"/>
    <col min="15152" max="15152" customWidth="1" bestFit="1" width="10.0" style="5"/>
    <col min="15153" max="15153" customWidth="1" bestFit="1" width="10.0" style="5"/>
    <col min="15154" max="15154" customWidth="1" bestFit="1" width="10.0" style="5"/>
    <col min="15155" max="15155" customWidth="1" bestFit="1" width="10.0" style="5"/>
    <col min="15156" max="15156" customWidth="1" bestFit="1" width="10.0" style="5"/>
    <col min="15157" max="15157" customWidth="1" bestFit="1" width="10.0" style="5"/>
    <col min="15158" max="15158" customWidth="1" bestFit="1" width="10.0" style="5"/>
    <col min="15159" max="15159" customWidth="1" bestFit="1" width="10.0" style="5"/>
    <col min="15160" max="15160" customWidth="1" bestFit="1" width="10.0" style="5"/>
    <col min="15161" max="15161" customWidth="1" bestFit="1" width="10.0" style="5"/>
    <col min="15162" max="15162" customWidth="1" bestFit="1" width="10.0" style="5"/>
    <col min="15163" max="15163" customWidth="1" bestFit="1" width="10.0" style="5"/>
    <col min="15164" max="15164" customWidth="1" bestFit="1" width="10.0" style="5"/>
    <col min="15165" max="15165" customWidth="1" bestFit="1" width="10.0" style="5"/>
    <col min="15166" max="15166" customWidth="1" bestFit="1" width="10.0" style="5"/>
    <col min="15167" max="15167" customWidth="1" bestFit="1" width="10.0" style="5"/>
    <col min="15168" max="15168" customWidth="1" bestFit="1" width="10.0" style="5"/>
    <col min="15169" max="15169" customWidth="1" bestFit="1" width="10.0" style="5"/>
    <col min="15170" max="15170" customWidth="1" bestFit="1" width="10.0" style="5"/>
    <col min="15171" max="15171" customWidth="1" bestFit="1" width="10.0" style="5"/>
    <col min="15172" max="15172" customWidth="1" bestFit="1" width="10.0" style="5"/>
    <col min="15173" max="15173" customWidth="1" bestFit="1" width="10.0" style="5"/>
    <col min="15174" max="15174" customWidth="1" bestFit="1" width="10.0" style="5"/>
    <col min="15175" max="15175" customWidth="1" bestFit="1" width="10.0" style="5"/>
    <col min="15176" max="15176" customWidth="1" bestFit="1" width="10.0" style="5"/>
    <col min="15177" max="15177" customWidth="1" bestFit="1" width="10.0" style="5"/>
    <col min="15178" max="15178" customWidth="1" bestFit="1" width="10.0" style="5"/>
    <col min="15179" max="15179" customWidth="1" bestFit="1" width="10.0" style="5"/>
    <col min="15180" max="15180" customWidth="1" bestFit="1" width="10.0" style="5"/>
    <col min="15181" max="15181" customWidth="1" bestFit="1" width="10.0" style="5"/>
    <col min="15182" max="15182" customWidth="1" bestFit="1" width="10.0" style="5"/>
    <col min="15183" max="15183" customWidth="1" bestFit="1" width="10.0" style="5"/>
    <col min="15184" max="15184" customWidth="1" bestFit="1" width="10.0" style="5"/>
    <col min="15185" max="15185" customWidth="1" bestFit="1" width="10.0" style="5"/>
    <col min="15186" max="15186" customWidth="1" bestFit="1" width="10.0" style="5"/>
    <col min="15187" max="15187" customWidth="1" bestFit="1" width="10.0" style="5"/>
    <col min="15188" max="15188" customWidth="1" bestFit="1" width="10.0" style="5"/>
    <col min="15189" max="15189" customWidth="1" bestFit="1" width="10.0" style="5"/>
    <col min="15190" max="15190" customWidth="1" bestFit="1" width="10.0" style="5"/>
    <col min="15191" max="15191" customWidth="1" bestFit="1" width="10.0" style="5"/>
    <col min="15192" max="15192" customWidth="1" bestFit="1" width="10.0" style="5"/>
    <col min="15193" max="15193" customWidth="1" bestFit="1" width="10.0" style="5"/>
    <col min="15194" max="15194" customWidth="1" bestFit="1" width="10.0" style="5"/>
    <col min="15195" max="15195" customWidth="1" bestFit="1" width="10.0" style="5"/>
    <col min="15196" max="15196" customWidth="1" bestFit="1" width="10.0" style="5"/>
    <col min="15197" max="15197" customWidth="1" bestFit="1" width="10.0" style="5"/>
    <col min="15198" max="15198" customWidth="1" bestFit="1" width="10.0" style="5"/>
    <col min="15199" max="15199" customWidth="1" bestFit="1" width="10.0" style="5"/>
    <col min="15200" max="15200" customWidth="1" bestFit="1" width="10.0" style="5"/>
    <col min="15201" max="15201" customWidth="1" bestFit="1" width="10.0" style="5"/>
    <col min="15202" max="15202" customWidth="1" bestFit="1" width="10.0" style="5"/>
    <col min="15203" max="15203" customWidth="1" bestFit="1" width="10.0" style="5"/>
    <col min="15204" max="15204" customWidth="1" bestFit="1" width="10.0" style="5"/>
    <col min="15205" max="15205" customWidth="1" bestFit="1" width="10.0" style="5"/>
    <col min="15206" max="15206" customWidth="1" bestFit="1" width="10.0" style="5"/>
    <col min="15207" max="15207" customWidth="1" bestFit="1" width="10.0" style="5"/>
    <col min="15208" max="15208" customWidth="1" bestFit="1" width="10.0" style="5"/>
    <col min="15209" max="15209" customWidth="1" bestFit="1" width="10.0" style="5"/>
    <col min="15210" max="15210" customWidth="1" bestFit="1" width="10.0" style="5"/>
    <col min="15211" max="15211" customWidth="1" bestFit="1" width="10.0" style="5"/>
    <col min="15212" max="15212" customWidth="1" bestFit="1" width="10.0" style="5"/>
    <col min="15213" max="15213" customWidth="1" bestFit="1" width="10.0" style="5"/>
    <col min="15214" max="15214" customWidth="1" bestFit="1" width="10.0" style="5"/>
    <col min="15215" max="15215" customWidth="1" bestFit="1" width="10.0" style="5"/>
    <col min="15216" max="15216" customWidth="1" bestFit="1" width="10.0" style="5"/>
    <col min="15217" max="15217" customWidth="1" bestFit="1" width="10.0" style="5"/>
    <col min="15218" max="15218" customWidth="1" bestFit="1" width="10.0" style="5"/>
    <col min="15219" max="15219" customWidth="1" bestFit="1" width="10.0" style="5"/>
    <col min="15220" max="15220" customWidth="1" bestFit="1" width="10.0" style="5"/>
    <col min="15221" max="15221" customWidth="1" bestFit="1" width="10.0" style="5"/>
    <col min="15222" max="15222" customWidth="1" bestFit="1" width="10.0" style="5"/>
    <col min="15223" max="15223" customWidth="1" bestFit="1" width="10.0" style="5"/>
    <col min="15224" max="15224" customWidth="1" bestFit="1" width="10.0" style="5"/>
    <col min="15225" max="15225" customWidth="1" bestFit="1" width="10.0" style="5"/>
    <col min="15226" max="15226" customWidth="1" bestFit="1" width="10.0" style="5"/>
    <col min="15227" max="15227" customWidth="1" bestFit="1" width="10.0" style="5"/>
    <col min="15228" max="15228" customWidth="1" bestFit="1" width="10.0" style="5"/>
    <col min="15229" max="15229" customWidth="1" bestFit="1" width="10.0" style="5"/>
    <col min="15230" max="15230" customWidth="1" bestFit="1" width="10.0" style="5"/>
    <col min="15231" max="15231" customWidth="1" bestFit="1" width="10.0" style="5"/>
    <col min="15232" max="15232" customWidth="1" bestFit="1" width="10.0" style="5"/>
    <col min="15233" max="15233" customWidth="1" bestFit="1" width="10.0" style="5"/>
    <col min="15234" max="15234" customWidth="1" bestFit="1" width="10.0" style="5"/>
    <col min="15235" max="15235" customWidth="1" bestFit="1" width="10.0" style="5"/>
    <col min="15236" max="15236" customWidth="1" bestFit="1" width="10.0" style="5"/>
    <col min="15237" max="15237" customWidth="1" bestFit="1" width="10.0" style="5"/>
    <col min="15238" max="15238" customWidth="1" bestFit="1" width="10.0" style="5"/>
    <col min="15239" max="15239" customWidth="1" bestFit="1" width="10.0" style="5"/>
    <col min="15240" max="15240" customWidth="1" bestFit="1" width="10.0" style="5"/>
    <col min="15241" max="15241" customWidth="1" bestFit="1" width="10.0" style="5"/>
    <col min="15242" max="15242" customWidth="1" bestFit="1" width="10.0" style="5"/>
    <col min="15243" max="15243" customWidth="1" bestFit="1" width="10.0" style="5"/>
    <col min="15244" max="15244" customWidth="1" bestFit="1" width="10.0" style="5"/>
    <col min="15245" max="15245" customWidth="1" bestFit="1" width="10.0" style="5"/>
    <col min="15246" max="15246" customWidth="1" bestFit="1" width="10.0" style="5"/>
    <col min="15247" max="15247" customWidth="1" bestFit="1" width="10.0" style="5"/>
    <col min="15248" max="15248" customWidth="1" bestFit="1" width="10.0" style="5"/>
    <col min="15249" max="15249" customWidth="1" bestFit="1" width="10.0" style="5"/>
    <col min="15250" max="15250" customWidth="1" bestFit="1" width="10.0" style="5"/>
    <col min="15251" max="15251" customWidth="1" bestFit="1" width="10.0" style="5"/>
    <col min="15252" max="15252" customWidth="1" bestFit="1" width="10.0" style="5"/>
    <col min="15253" max="15253" customWidth="1" bestFit="1" width="10.0" style="5"/>
    <col min="15254" max="15254" customWidth="1" bestFit="1" width="10.0" style="5"/>
    <col min="15255" max="15255" customWidth="1" bestFit="1" width="10.0" style="5"/>
    <col min="15256" max="15256" customWidth="1" bestFit="1" width="10.0" style="5"/>
    <col min="15257" max="15257" customWidth="1" bestFit="1" width="10.0" style="5"/>
    <col min="15258" max="15258" customWidth="1" bestFit="1" width="10.0" style="5"/>
    <col min="15259" max="15259" customWidth="1" bestFit="1" width="10.0" style="5"/>
    <col min="15260" max="15260" customWidth="1" bestFit="1" width="10.0" style="5"/>
    <col min="15261" max="15261" customWidth="1" bestFit="1" width="10.0" style="5"/>
    <col min="15262" max="15262" customWidth="1" bestFit="1" width="10.0" style="5"/>
    <col min="15263" max="15263" customWidth="1" bestFit="1" width="10.0" style="5"/>
    <col min="15264" max="15264" customWidth="1" bestFit="1" width="10.0" style="5"/>
    <col min="15265" max="15265" customWidth="1" bestFit="1" width="10.0" style="5"/>
    <col min="15266" max="15266" customWidth="1" bestFit="1" width="10.0" style="5"/>
    <col min="15267" max="15267" customWidth="1" bestFit="1" width="10.0" style="5"/>
    <col min="15268" max="15268" customWidth="1" bestFit="1" width="10.0" style="5"/>
    <col min="15269" max="15269" customWidth="1" bestFit="1" width="10.0" style="5"/>
    <col min="15270" max="15270" customWidth="1" bestFit="1" width="10.0" style="5"/>
    <col min="15271" max="15271" customWidth="1" bestFit="1" width="10.0" style="5"/>
    <col min="15272" max="15272" customWidth="1" bestFit="1" width="10.0" style="5"/>
    <col min="15273" max="15273" customWidth="1" bestFit="1" width="10.0" style="5"/>
    <col min="15274" max="15274" customWidth="1" bestFit="1" width="10.0" style="5"/>
    <col min="15275" max="15275" customWidth="1" bestFit="1" width="10.0" style="5"/>
    <col min="15276" max="15276" customWidth="1" bestFit="1" width="10.0" style="5"/>
    <col min="15277" max="15277" customWidth="1" bestFit="1" width="10.0" style="5"/>
    <col min="15278" max="15278" customWidth="1" bestFit="1" width="10.0" style="5"/>
    <col min="15279" max="15279" customWidth="1" bestFit="1" width="10.0" style="5"/>
    <col min="15280" max="15280" customWidth="1" bestFit="1" width="10.0" style="5"/>
    <col min="15281" max="15281" customWidth="1" bestFit="1" width="10.0" style="5"/>
    <col min="15282" max="15282" customWidth="1" bestFit="1" width="10.0" style="5"/>
    <col min="15283" max="15283" customWidth="1" bestFit="1" width="10.0" style="5"/>
    <col min="15284" max="15284" customWidth="1" bestFit="1" width="10.0" style="5"/>
    <col min="15285" max="15285" customWidth="1" bestFit="1" width="10.0" style="5"/>
    <col min="15286" max="15286" customWidth="1" bestFit="1" width="10.0" style="5"/>
    <col min="15287" max="15287" customWidth="1" bestFit="1" width="10.0" style="5"/>
    <col min="15288" max="15288" customWidth="1" bestFit="1" width="10.0" style="5"/>
    <col min="15289" max="15289" customWidth="1" bestFit="1" width="10.0" style="5"/>
    <col min="15290" max="15290" customWidth="1" bestFit="1" width="10.0" style="5"/>
    <col min="15291" max="15291" customWidth="1" bestFit="1" width="10.0" style="5"/>
    <col min="15292" max="15292" customWidth="1" bestFit="1" width="10.0" style="5"/>
    <col min="15293" max="15293" customWidth="1" bestFit="1" width="10.0" style="5"/>
    <col min="15294" max="15294" customWidth="1" bestFit="1" width="10.0" style="5"/>
    <col min="15295" max="15295" customWidth="1" bestFit="1" width="10.0" style="5"/>
    <col min="15296" max="15296" customWidth="1" bestFit="1" width="10.0" style="5"/>
    <col min="15297" max="15297" customWidth="1" bestFit="1" width="10.0" style="5"/>
    <col min="15298" max="15298" customWidth="1" bestFit="1" width="10.0" style="5"/>
    <col min="15299" max="15299" customWidth="1" bestFit="1" width="10.0" style="5"/>
    <col min="15300" max="15300" customWidth="1" bestFit="1" width="10.0" style="5"/>
    <col min="15301" max="15301" customWidth="1" bestFit="1" width="10.0" style="5"/>
    <col min="15302" max="15302" customWidth="1" bestFit="1" width="10.0" style="5"/>
    <col min="15303" max="15303" customWidth="1" bestFit="1" width="10.0" style="5"/>
    <col min="15304" max="15304" customWidth="1" bestFit="1" width="10.0" style="5"/>
    <col min="15305" max="15305" customWidth="1" bestFit="1" width="10.0" style="5"/>
    <col min="15306" max="15306" customWidth="1" bestFit="1" width="10.0" style="5"/>
    <col min="15307" max="15307" customWidth="1" bestFit="1" width="10.0" style="5"/>
    <col min="15308" max="15308" customWidth="1" bestFit="1" width="10.0" style="5"/>
    <col min="15309" max="15309" customWidth="1" bestFit="1" width="10.0" style="5"/>
    <col min="15310" max="15310" customWidth="1" bestFit="1" width="10.0" style="5"/>
    <col min="15311" max="15311" customWidth="1" bestFit="1" width="10.0" style="5"/>
    <col min="15312" max="15312" customWidth="1" bestFit="1" width="10.0" style="5"/>
    <col min="15313" max="15313" customWidth="1" bestFit="1" width="10.0" style="5"/>
    <col min="15314" max="15314" customWidth="1" bestFit="1" width="10.0" style="5"/>
    <col min="15315" max="15315" customWidth="1" bestFit="1" width="10.0" style="5"/>
    <col min="15316" max="15316" customWidth="1" bestFit="1" width="10.0" style="5"/>
    <col min="15317" max="15317" customWidth="1" bestFit="1" width="10.0" style="5"/>
    <col min="15318" max="15318" customWidth="1" bestFit="1" width="10.0" style="5"/>
    <col min="15319" max="15319" customWidth="1" bestFit="1" width="10.0" style="5"/>
    <col min="15320" max="15320" customWidth="1" bestFit="1" width="10.0" style="5"/>
    <col min="15321" max="15321" customWidth="1" bestFit="1" width="10.0" style="5"/>
    <col min="15322" max="15322" customWidth="1" bestFit="1" width="10.0" style="5"/>
    <col min="15323" max="15323" customWidth="1" bestFit="1" width="10.0" style="5"/>
    <col min="15324" max="15324" customWidth="1" bestFit="1" width="10.0" style="5"/>
    <col min="15325" max="15325" customWidth="1" bestFit="1" width="10.0" style="5"/>
    <col min="15326" max="15326" customWidth="1" bestFit="1" width="10.0" style="5"/>
    <col min="15327" max="15327" customWidth="1" bestFit="1" width="10.0" style="5"/>
    <col min="15328" max="15328" customWidth="1" bestFit="1" width="10.0" style="5"/>
    <col min="15329" max="15329" customWidth="1" bestFit="1" width="10.0" style="5"/>
    <col min="15330" max="15330" customWidth="1" bestFit="1" width="10.0" style="5"/>
    <col min="15331" max="15331" customWidth="1" bestFit="1" width="10.0" style="5"/>
    <col min="15332" max="15332" customWidth="1" bestFit="1" width="10.0" style="5"/>
    <col min="15333" max="15333" customWidth="1" bestFit="1" width="10.0" style="5"/>
    <col min="15334" max="15334" customWidth="1" bestFit="1" width="10.0" style="5"/>
    <col min="15335" max="15335" customWidth="1" bestFit="1" width="10.0" style="5"/>
    <col min="15336" max="15336" customWidth="1" bestFit="1" width="10.0" style="5"/>
    <col min="15337" max="15337" customWidth="1" bestFit="1" width="10.0" style="5"/>
    <col min="15338" max="15338" customWidth="1" bestFit="1" width="10.0" style="5"/>
    <col min="15339" max="15339" customWidth="1" bestFit="1" width="10.0" style="5"/>
    <col min="15340" max="15340" customWidth="1" bestFit="1" width="10.0" style="5"/>
    <col min="15341" max="15341" customWidth="1" bestFit="1" width="10.0" style="5"/>
    <col min="15342" max="15342" customWidth="1" bestFit="1" width="10.0" style="5"/>
    <col min="15343" max="15343" customWidth="1" bestFit="1" width="10.0" style="5"/>
    <col min="15344" max="15344" customWidth="1" bestFit="1" width="10.0" style="5"/>
    <col min="15345" max="15345" customWidth="1" bestFit="1" width="10.0" style="5"/>
    <col min="15346" max="15346" customWidth="1" bestFit="1" width="10.0" style="5"/>
    <col min="15347" max="15347" customWidth="1" bestFit="1" width="10.0" style="5"/>
    <col min="15348" max="15348" customWidth="1" bestFit="1" width="10.0" style="5"/>
    <col min="15349" max="15349" customWidth="1" bestFit="1" width="10.0" style="5"/>
    <col min="15350" max="15350" customWidth="1" bestFit="1" width="10.0" style="5"/>
    <col min="15351" max="15351" customWidth="1" bestFit="1" width="10.0" style="5"/>
    <col min="15352" max="15352" customWidth="1" bestFit="1" width="10.0" style="5"/>
    <col min="15353" max="15353" customWidth="1" bestFit="1" width="10.0" style="5"/>
    <col min="15354" max="15354" customWidth="1" bestFit="1" width="10.0" style="5"/>
    <col min="15355" max="15355" customWidth="1" bestFit="1" width="10.0" style="5"/>
    <col min="15356" max="15356" customWidth="1" bestFit="1" width="10.0" style="5"/>
    <col min="15357" max="15357" customWidth="1" bestFit="1" width="10.0" style="5"/>
    <col min="15358" max="15358" customWidth="1" bestFit="1" width="10.0" style="5"/>
    <col min="15359" max="15359" customWidth="1" bestFit="1" width="10.0" style="5"/>
    <col min="15360" max="15360" customWidth="1" bestFit="1" width="10.0" style="5"/>
    <col min="15361" max="15361" customWidth="1" bestFit="1" width="10.0" style="5"/>
    <col min="15362" max="15362" customWidth="1" bestFit="1" width="10.0" style="5"/>
    <col min="15363" max="15363" customWidth="1" bestFit="1" width="10.0" style="5"/>
    <col min="15364" max="15364" customWidth="1" bestFit="1" width="10.0" style="5"/>
    <col min="15365" max="15365" customWidth="1" bestFit="1" width="10.0" style="5"/>
    <col min="15366" max="15366" customWidth="1" bestFit="1" width="10.0" style="5"/>
    <col min="15367" max="15367" customWidth="1" bestFit="1" width="10.0" style="5"/>
    <col min="15368" max="15368" customWidth="1" bestFit="1" width="10.0" style="5"/>
    <col min="15369" max="15369" customWidth="1" bestFit="1" width="10.0" style="5"/>
    <col min="15370" max="15370" customWidth="1" bestFit="1" width="10.0" style="5"/>
    <col min="15371" max="15371" customWidth="1" bestFit="1" width="10.0" style="5"/>
    <col min="15372" max="15372" customWidth="1" bestFit="1" width="10.0" style="5"/>
    <col min="15373" max="15373" customWidth="1" bestFit="1" width="10.0" style="5"/>
    <col min="15374" max="15374" customWidth="1" bestFit="1" width="10.0" style="5"/>
    <col min="15375" max="15375" customWidth="1" bestFit="1" width="10.0" style="5"/>
    <col min="15376" max="15376" customWidth="1" bestFit="1" width="10.0" style="5"/>
    <col min="15377" max="15377" customWidth="1" bestFit="1" width="10.0" style="5"/>
    <col min="15378" max="15378" customWidth="1" bestFit="1" width="10.0" style="5"/>
    <col min="15379" max="15379" customWidth="1" bestFit="1" width="10.0" style="5"/>
    <col min="15380" max="15380" customWidth="1" bestFit="1" width="10.0" style="5"/>
    <col min="15381" max="15381" customWidth="1" bestFit="1" width="10.0" style="5"/>
    <col min="15382" max="15382" customWidth="1" bestFit="1" width="10.0" style="5"/>
    <col min="15383" max="15383" customWidth="1" bestFit="1" width="10.0" style="5"/>
    <col min="15384" max="15384" customWidth="1" bestFit="1" width="10.0" style="5"/>
    <col min="15385" max="15385" customWidth="1" bestFit="1" width="10.0" style="5"/>
    <col min="15386" max="15386" customWidth="1" bestFit="1" width="10.0" style="5"/>
    <col min="15387" max="15387" customWidth="1" bestFit="1" width="10.0" style="5"/>
    <col min="15388" max="15388" customWidth="1" bestFit="1" width="10.0" style="5"/>
    <col min="15389" max="15389" customWidth="1" bestFit="1" width="10.0" style="5"/>
    <col min="15390" max="15390" customWidth="1" bestFit="1" width="10.0" style="5"/>
    <col min="15391" max="15391" customWidth="1" bestFit="1" width="10.0" style="5"/>
    <col min="15392" max="15392" customWidth="1" bestFit="1" width="10.0" style="5"/>
    <col min="15393" max="15393" customWidth="1" bestFit="1" width="10.0" style="5"/>
    <col min="15394" max="15394" customWidth="1" bestFit="1" width="10.0" style="5"/>
    <col min="15395" max="15395" customWidth="1" bestFit="1" width="10.0" style="5"/>
    <col min="15396" max="15396" customWidth="1" bestFit="1" width="10.0" style="5"/>
    <col min="15397" max="15397" customWidth="1" bestFit="1" width="10.0" style="5"/>
    <col min="15398" max="15398" customWidth="1" bestFit="1" width="10.0" style="5"/>
    <col min="15399" max="15399" customWidth="1" bestFit="1" width="10.0" style="5"/>
    <col min="15400" max="15400" customWidth="1" bestFit="1" width="10.0" style="5"/>
    <col min="15401" max="15401" customWidth="1" bestFit="1" width="10.0" style="5"/>
    <col min="15402" max="15402" customWidth="1" bestFit="1" width="10.0" style="5"/>
    <col min="15403" max="15403" customWidth="1" bestFit="1" width="10.0" style="5"/>
    <col min="15404" max="15404" customWidth="1" bestFit="1" width="10.0" style="5"/>
    <col min="15405" max="15405" customWidth="1" bestFit="1" width="10.0" style="5"/>
    <col min="15406" max="15406" customWidth="1" bestFit="1" width="10.0" style="5"/>
    <col min="15407" max="15407" customWidth="1" bestFit="1" width="10.0" style="5"/>
    <col min="15408" max="15408" customWidth="1" bestFit="1" width="10.0" style="5"/>
    <col min="15409" max="15409" customWidth="1" bestFit="1" width="10.0" style="5"/>
    <col min="15410" max="15410" customWidth="1" bestFit="1" width="10.0" style="5"/>
    <col min="15411" max="15411" customWidth="1" bestFit="1" width="10.0" style="5"/>
    <col min="15412" max="15412" customWidth="1" bestFit="1" width="10.0" style="5"/>
    <col min="15413" max="15413" customWidth="1" bestFit="1" width="10.0" style="5"/>
    <col min="15414" max="15414" customWidth="1" bestFit="1" width="10.0" style="5"/>
    <col min="15415" max="15415" customWidth="1" bestFit="1" width="10.0" style="5"/>
    <col min="15416" max="15416" customWidth="1" bestFit="1" width="10.0" style="5"/>
    <col min="15417" max="15417" customWidth="1" bestFit="1" width="10.0" style="5"/>
    <col min="15418" max="15418" customWidth="1" bestFit="1" width="10.0" style="5"/>
    <col min="15419" max="15419" customWidth="1" bestFit="1" width="10.0" style="5"/>
    <col min="15420" max="15420" customWidth="1" bestFit="1" width="10.0" style="5"/>
    <col min="15421" max="15421" customWidth="1" bestFit="1" width="10.0" style="5"/>
    <col min="15422" max="15422" customWidth="1" bestFit="1" width="10.0" style="5"/>
    <col min="15423" max="15423" customWidth="1" bestFit="1" width="10.0" style="5"/>
    <col min="15424" max="15424" customWidth="1" bestFit="1" width="10.0" style="5"/>
    <col min="15425" max="15425" customWidth="1" bestFit="1" width="10.0" style="5"/>
    <col min="15426" max="15426" customWidth="1" bestFit="1" width="10.0" style="5"/>
    <col min="15427" max="15427" customWidth="1" bestFit="1" width="10.0" style="5"/>
    <col min="15428" max="15428" customWidth="1" bestFit="1" width="10.0" style="5"/>
    <col min="15429" max="15429" customWidth="1" bestFit="1" width="10.0" style="5"/>
    <col min="15430" max="15430" customWidth="1" bestFit="1" width="10.0" style="5"/>
    <col min="15431" max="15431" customWidth="1" bestFit="1" width="10.0" style="5"/>
    <col min="15432" max="15432" customWidth="1" bestFit="1" width="10.0" style="5"/>
    <col min="15433" max="15433" customWidth="1" bestFit="1" width="10.0" style="5"/>
    <col min="15434" max="15434" customWidth="1" bestFit="1" width="10.0" style="5"/>
    <col min="15435" max="15435" customWidth="1" bestFit="1" width="10.0" style="5"/>
    <col min="15436" max="15436" customWidth="1" bestFit="1" width="10.0" style="5"/>
    <col min="15437" max="15437" customWidth="1" bestFit="1" width="10.0" style="5"/>
    <col min="15438" max="15438" customWidth="1" bestFit="1" width="10.0" style="5"/>
    <col min="15439" max="15439" customWidth="1" bestFit="1" width="10.0" style="5"/>
    <col min="15440" max="15440" customWidth="1" bestFit="1" width="10.0" style="5"/>
    <col min="15441" max="15441" customWidth="1" bestFit="1" width="10.0" style="5"/>
    <col min="15442" max="15442" customWidth="1" bestFit="1" width="10.0" style="5"/>
    <col min="15443" max="15443" customWidth="1" bestFit="1" width="10.0" style="5"/>
    <col min="15444" max="15444" customWidth="1" bestFit="1" width="10.0" style="5"/>
    <col min="15445" max="15445" customWidth="1" bestFit="1" width="10.0" style="5"/>
    <col min="15446" max="15446" customWidth="1" bestFit="1" width="10.0" style="5"/>
    <col min="15447" max="15447" customWidth="1" bestFit="1" width="10.0" style="5"/>
    <col min="15448" max="15448" customWidth="1" bestFit="1" width="10.0" style="5"/>
    <col min="15449" max="15449" customWidth="1" bestFit="1" width="10.0" style="5"/>
    <col min="15450" max="15450" customWidth="1" bestFit="1" width="10.0" style="5"/>
    <col min="15451" max="15451" customWidth="1" bestFit="1" width="10.0" style="5"/>
    <col min="15452" max="15452" customWidth="1" bestFit="1" width="10.0" style="5"/>
    <col min="15453" max="15453" customWidth="1" bestFit="1" width="10.0" style="5"/>
    <col min="15454" max="15454" customWidth="1" bestFit="1" width="10.0" style="5"/>
    <col min="15455" max="15455" customWidth="1" bestFit="1" width="10.0" style="5"/>
    <col min="15456" max="15456" customWidth="1" bestFit="1" width="10.0" style="5"/>
    <col min="15457" max="15457" customWidth="1" bestFit="1" width="10.0" style="5"/>
    <col min="15458" max="15458" customWidth="1" bestFit="1" width="10.0" style="5"/>
    <col min="15459" max="15459" customWidth="1" bestFit="1" width="10.0" style="5"/>
    <col min="15460" max="15460" customWidth="1" bestFit="1" width="10.0" style="5"/>
    <col min="15461" max="15461" customWidth="1" bestFit="1" width="10.0" style="5"/>
    <col min="15462" max="15462" customWidth="1" bestFit="1" width="10.0" style="5"/>
    <col min="15463" max="15463" customWidth="1" bestFit="1" width="10.0" style="5"/>
    <col min="15464" max="15464" customWidth="1" bestFit="1" width="10.0" style="5"/>
    <col min="15465" max="15465" customWidth="1" bestFit="1" width="10.0" style="5"/>
    <col min="15466" max="15466" customWidth="1" bestFit="1" width="10.0" style="5"/>
    <col min="15467" max="15467" customWidth="1" bestFit="1" width="10.0" style="5"/>
    <col min="15468" max="15468" customWidth="1" bestFit="1" width="10.0" style="5"/>
    <col min="15469" max="15469" customWidth="1" bestFit="1" width="10.0" style="5"/>
    <col min="15470" max="15470" customWidth="1" bestFit="1" width="10.0" style="5"/>
    <col min="15471" max="15471" customWidth="1" bestFit="1" width="10.0" style="5"/>
    <col min="15472" max="15472" customWidth="1" bestFit="1" width="10.0" style="5"/>
    <col min="15473" max="15473" customWidth="1" bestFit="1" width="10.0" style="5"/>
    <col min="15474" max="15474" customWidth="1" bestFit="1" width="10.0" style="5"/>
    <col min="15475" max="15475" customWidth="1" bestFit="1" width="10.0" style="5"/>
    <col min="15476" max="15476" customWidth="1" bestFit="1" width="10.0" style="5"/>
    <col min="15477" max="15477" customWidth="1" bestFit="1" width="10.0" style="5"/>
    <col min="15478" max="15478" customWidth="1" bestFit="1" width="10.0" style="5"/>
    <col min="15479" max="15479" customWidth="1" bestFit="1" width="10.0" style="5"/>
    <col min="15480" max="15480" customWidth="1" bestFit="1" width="10.0" style="5"/>
    <col min="15481" max="15481" customWidth="1" bestFit="1" width="10.0" style="5"/>
    <col min="15482" max="15482" customWidth="1" bestFit="1" width="10.0" style="5"/>
    <col min="15483" max="15483" customWidth="1" bestFit="1" width="10.0" style="5"/>
    <col min="15484" max="15484" customWidth="1" bestFit="1" width="10.0" style="5"/>
    <col min="15485" max="15485" customWidth="1" bestFit="1" width="10.0" style="5"/>
    <col min="15486" max="15486" customWidth="1" bestFit="1" width="10.0" style="5"/>
    <col min="15487" max="15487" customWidth="1" bestFit="1" width="10.0" style="5"/>
    <col min="15488" max="15488" customWidth="1" bestFit="1" width="10.0" style="5"/>
    <col min="15489" max="15489" customWidth="1" bestFit="1" width="10.0" style="5"/>
    <col min="15490" max="15490" customWidth="1" bestFit="1" width="10.0" style="5"/>
    <col min="15491" max="15491" customWidth="1" bestFit="1" width="10.0" style="5"/>
    <col min="15492" max="15492" customWidth="1" bestFit="1" width="10.0" style="5"/>
    <col min="15493" max="15493" customWidth="1" bestFit="1" width="10.0" style="5"/>
    <col min="15494" max="15494" customWidth="1" bestFit="1" width="10.0" style="5"/>
    <col min="15495" max="15495" customWidth="1" bestFit="1" width="10.0" style="5"/>
    <col min="15496" max="15496" customWidth="1" bestFit="1" width="10.0" style="5"/>
    <col min="15497" max="15497" customWidth="1" bestFit="1" width="10.0" style="5"/>
    <col min="15498" max="15498" customWidth="1" bestFit="1" width="10.0" style="5"/>
    <col min="15499" max="15499" customWidth="1" bestFit="1" width="10.0" style="5"/>
    <col min="15500" max="15500" customWidth="1" bestFit="1" width="10.0" style="5"/>
    <col min="15501" max="15501" customWidth="1" bestFit="1" width="10.0" style="5"/>
    <col min="15502" max="15502" customWidth="1" bestFit="1" width="10.0" style="5"/>
    <col min="15503" max="15503" customWidth="1" bestFit="1" width="10.0" style="5"/>
    <col min="15504" max="15504" customWidth="1" bestFit="1" width="10.0" style="5"/>
    <col min="15505" max="15505" customWidth="1" bestFit="1" width="10.0" style="5"/>
    <col min="15506" max="15506" customWidth="1" bestFit="1" width="10.0" style="5"/>
    <col min="15507" max="15507" customWidth="1" bestFit="1" width="10.0" style="5"/>
    <col min="15508" max="15508" customWidth="1" bestFit="1" width="10.0" style="5"/>
    <col min="15509" max="15509" customWidth="1" bestFit="1" width="10.0" style="5"/>
    <col min="15510" max="15510" customWidth="1" bestFit="1" width="10.0" style="5"/>
    <col min="15511" max="15511" customWidth="1" bestFit="1" width="10.0" style="5"/>
    <col min="15512" max="15512" customWidth="1" bestFit="1" width="10.0" style="5"/>
    <col min="15513" max="15513" customWidth="1" bestFit="1" width="10.0" style="5"/>
    <col min="15514" max="15514" customWidth="1" bestFit="1" width="10.0" style="5"/>
    <col min="15515" max="15515" customWidth="1" bestFit="1" width="10.0" style="5"/>
    <col min="15516" max="15516" customWidth="1" bestFit="1" width="10.0" style="5"/>
    <col min="15517" max="15517" customWidth="1" bestFit="1" width="10.0" style="5"/>
    <col min="15518" max="15518" customWidth="1" bestFit="1" width="10.0" style="5"/>
    <col min="15519" max="15519" customWidth="1" bestFit="1" width="10.0" style="5"/>
    <col min="15520" max="15520" customWidth="1" bestFit="1" width="10.0" style="5"/>
    <col min="15521" max="15521" customWidth="1" bestFit="1" width="10.0" style="5"/>
    <col min="15522" max="15522" customWidth="1" bestFit="1" width="10.0" style="5"/>
    <col min="15523" max="15523" customWidth="1" bestFit="1" width="10.0" style="5"/>
    <col min="15524" max="15524" customWidth="1" bestFit="1" width="10.0" style="5"/>
    <col min="15525" max="15525" customWidth="1" bestFit="1" width="10.0" style="5"/>
    <col min="15526" max="15526" customWidth="1" bestFit="1" width="10.0" style="5"/>
    <col min="15527" max="15527" customWidth="1" bestFit="1" width="10.0" style="5"/>
    <col min="15528" max="15528" customWidth="1" bestFit="1" width="10.0" style="5"/>
    <col min="15529" max="15529" customWidth="1" bestFit="1" width="10.0" style="5"/>
    <col min="15530" max="15530" customWidth="1" bestFit="1" width="10.0" style="5"/>
    <col min="15531" max="15531" customWidth="1" bestFit="1" width="10.0" style="5"/>
    <col min="15532" max="15532" customWidth="1" bestFit="1" width="10.0" style="5"/>
    <col min="15533" max="15533" customWidth="1" bestFit="1" width="10.0" style="5"/>
    <col min="15534" max="15534" customWidth="1" bestFit="1" width="10.0" style="5"/>
    <col min="15535" max="15535" customWidth="1" bestFit="1" width="10.0" style="5"/>
    <col min="15536" max="15536" customWidth="1" bestFit="1" width="10.0" style="5"/>
    <col min="15537" max="15537" customWidth="1" bestFit="1" width="10.0" style="5"/>
    <col min="15538" max="15538" customWidth="1" bestFit="1" width="10.0" style="5"/>
    <col min="15539" max="15539" customWidth="1" bestFit="1" width="10.0" style="5"/>
    <col min="15540" max="15540" customWidth="1" bestFit="1" width="10.0" style="5"/>
    <col min="15541" max="15541" customWidth="1" bestFit="1" width="10.0" style="5"/>
    <col min="15542" max="15542" customWidth="1" bestFit="1" width="10.0" style="5"/>
    <col min="15543" max="15543" customWidth="1" bestFit="1" width="10.0" style="5"/>
    <col min="15544" max="15544" customWidth="1" bestFit="1" width="10.0" style="5"/>
    <col min="15545" max="15545" customWidth="1" bestFit="1" width="10.0" style="5"/>
    <col min="15546" max="15546" customWidth="1" bestFit="1" width="10.0" style="5"/>
    <col min="15547" max="15547" customWidth="1" bestFit="1" width="10.0" style="5"/>
    <col min="15548" max="15548" customWidth="1" bestFit="1" width="10.0" style="5"/>
    <col min="15549" max="15549" customWidth="1" bestFit="1" width="10.0" style="5"/>
    <col min="15550" max="15550" customWidth="1" bestFit="1" width="10.0" style="5"/>
    <col min="15551" max="15551" customWidth="1" bestFit="1" width="10.0" style="5"/>
    <col min="15552" max="15552" customWidth="1" bestFit="1" width="10.0" style="5"/>
    <col min="15553" max="15553" customWidth="1" bestFit="1" width="10.0" style="5"/>
    <col min="15554" max="15554" customWidth="1" bestFit="1" width="10.0" style="5"/>
    <col min="15555" max="15555" customWidth="1" bestFit="1" width="10.0" style="5"/>
    <col min="15556" max="15556" customWidth="1" bestFit="1" width="10.0" style="5"/>
    <col min="15557" max="15557" customWidth="1" bestFit="1" width="10.0" style="5"/>
    <col min="15558" max="15558" customWidth="1" bestFit="1" width="10.0" style="5"/>
    <col min="15559" max="15559" customWidth="1" bestFit="1" width="10.0" style="5"/>
    <col min="15560" max="15560" customWidth="1" bestFit="1" width="10.0" style="5"/>
    <col min="15561" max="15561" customWidth="1" bestFit="1" width="10.0" style="5"/>
    <col min="15562" max="15562" customWidth="1" bestFit="1" width="10.0" style="5"/>
    <col min="15563" max="15563" customWidth="1" bestFit="1" width="10.0" style="5"/>
    <col min="15564" max="15564" customWidth="1" bestFit="1" width="10.0" style="5"/>
    <col min="15565" max="15565" customWidth="1" bestFit="1" width="10.0" style="5"/>
    <col min="15566" max="15566" customWidth="1" bestFit="1" width="10.0" style="5"/>
    <col min="15567" max="15567" customWidth="1" bestFit="1" width="10.0" style="5"/>
    <col min="15568" max="15568" customWidth="1" bestFit="1" width="10.0" style="5"/>
    <col min="15569" max="15569" customWidth="1" bestFit="1" width="10.0" style="5"/>
    <col min="15570" max="15570" customWidth="1" bestFit="1" width="10.0" style="5"/>
    <col min="15571" max="15571" customWidth="1" bestFit="1" width="10.0" style="5"/>
    <col min="15572" max="15572" customWidth="1" bestFit="1" width="10.0" style="5"/>
    <col min="15573" max="15573" customWidth="1" bestFit="1" width="10.0" style="5"/>
    <col min="15574" max="15574" customWidth="1" bestFit="1" width="10.0" style="5"/>
    <col min="15575" max="15575" customWidth="1" bestFit="1" width="10.0" style="5"/>
    <col min="15576" max="15576" customWidth="1" bestFit="1" width="10.0" style="5"/>
    <col min="15577" max="15577" customWidth="1" bestFit="1" width="10.0" style="5"/>
    <col min="15578" max="15578" customWidth="1" bestFit="1" width="10.0" style="5"/>
    <col min="15579" max="15579" customWidth="1" bestFit="1" width="10.0" style="5"/>
    <col min="15580" max="15580" customWidth="1" bestFit="1" width="10.0" style="5"/>
    <col min="15581" max="15581" customWidth="1" bestFit="1" width="10.0" style="5"/>
    <col min="15582" max="15582" customWidth="1" bestFit="1" width="10.0" style="5"/>
    <col min="15583" max="15583" customWidth="1" bestFit="1" width="10.0" style="5"/>
    <col min="15584" max="15584" customWidth="1" bestFit="1" width="10.0" style="5"/>
    <col min="15585" max="15585" customWidth="1" bestFit="1" width="10.0" style="5"/>
    <col min="15586" max="15586" customWidth="1" bestFit="1" width="10.0" style="5"/>
    <col min="15587" max="15587" customWidth="1" bestFit="1" width="10.0" style="5"/>
    <col min="15588" max="15588" customWidth="1" bestFit="1" width="10.0" style="5"/>
    <col min="15589" max="15589" customWidth="1" bestFit="1" width="10.0" style="5"/>
    <col min="15590" max="15590" customWidth="1" bestFit="1" width="10.0" style="5"/>
    <col min="15591" max="15591" customWidth="1" bestFit="1" width="10.0" style="5"/>
    <col min="15592" max="15592" customWidth="1" bestFit="1" width="10.0" style="5"/>
    <col min="15593" max="15593" customWidth="1" bestFit="1" width="10.0" style="5"/>
    <col min="15594" max="15594" customWidth="1" bestFit="1" width="10.0" style="5"/>
    <col min="15595" max="15595" customWidth="1" bestFit="1" width="10.0" style="5"/>
    <col min="15596" max="15596" customWidth="1" bestFit="1" width="10.0" style="5"/>
    <col min="15597" max="15597" customWidth="1" bestFit="1" width="10.0" style="5"/>
    <col min="15598" max="15598" customWidth="1" bestFit="1" width="10.0" style="5"/>
    <col min="15599" max="15599" customWidth="1" bestFit="1" width="10.0" style="5"/>
    <col min="15600" max="15600" customWidth="1" bestFit="1" width="10.0" style="5"/>
    <col min="15601" max="15601" customWidth="1" bestFit="1" width="10.0" style="5"/>
    <col min="15602" max="15602" customWidth="1" bestFit="1" width="10.0" style="5"/>
    <col min="15603" max="15603" customWidth="1" bestFit="1" width="10.0" style="5"/>
    <col min="15604" max="15604" customWidth="1" bestFit="1" width="10.0" style="5"/>
    <col min="15605" max="15605" customWidth="1" bestFit="1" width="10.0" style="5"/>
    <col min="15606" max="15606" customWidth="1" bestFit="1" width="10.0" style="5"/>
    <col min="15607" max="15607" customWidth="1" bestFit="1" width="10.0" style="5"/>
    <col min="15608" max="15608" customWidth="1" bestFit="1" width="10.0" style="5"/>
    <col min="15609" max="15609" customWidth="1" bestFit="1" width="10.0" style="5"/>
    <col min="15610" max="15610" customWidth="1" bestFit="1" width="10.0" style="5"/>
    <col min="15611" max="15611" customWidth="1" bestFit="1" width="10.0" style="5"/>
    <col min="15612" max="15612" customWidth="1" bestFit="1" width="10.0" style="5"/>
    <col min="15613" max="15613" customWidth="1" bestFit="1" width="10.0" style="5"/>
    <col min="15614" max="15614" customWidth="1" bestFit="1" width="10.0" style="5"/>
    <col min="15615" max="15615" customWidth="1" bestFit="1" width="10.0" style="5"/>
    <col min="15616" max="15616" customWidth="1" bestFit="1" width="10.0" style="5"/>
    <col min="15617" max="15617" customWidth="1" bestFit="1" width="10.0" style="5"/>
    <col min="15618" max="15618" customWidth="1" bestFit="1" width="10.0" style="5"/>
    <col min="15619" max="15619" customWidth="1" bestFit="1" width="10.0" style="5"/>
    <col min="15620" max="15620" customWidth="1" bestFit="1" width="10.0" style="5"/>
    <col min="15621" max="15621" customWidth="1" bestFit="1" width="10.0" style="5"/>
    <col min="15622" max="15622" customWidth="1" bestFit="1" width="10.0" style="5"/>
    <col min="15623" max="15623" customWidth="1" bestFit="1" width="10.0" style="5"/>
    <col min="15624" max="15624" customWidth="1" bestFit="1" width="10.0" style="5"/>
    <col min="15625" max="15625" customWidth="1" bestFit="1" width="10.0" style="5"/>
    <col min="15626" max="15626" customWidth="1" bestFit="1" width="10.0" style="5"/>
    <col min="15627" max="15627" customWidth="1" bestFit="1" width="10.0" style="5"/>
    <col min="15628" max="15628" customWidth="1" bestFit="1" width="10.0" style="5"/>
    <col min="15629" max="15629" customWidth="1" bestFit="1" width="10.0" style="5"/>
    <col min="15630" max="15630" customWidth="1" bestFit="1" width="10.0" style="5"/>
    <col min="15631" max="15631" customWidth="1" bestFit="1" width="10.0" style="5"/>
    <col min="15632" max="15632" customWidth="1" bestFit="1" width="10.0" style="5"/>
    <col min="15633" max="15633" customWidth="1" bestFit="1" width="10.0" style="5"/>
    <col min="15634" max="15634" customWidth="1" bestFit="1" width="10.0" style="5"/>
    <col min="15635" max="15635" customWidth="1" bestFit="1" width="10.0" style="5"/>
    <col min="15636" max="15636" customWidth="1" bestFit="1" width="10.0" style="5"/>
    <col min="15637" max="15637" customWidth="1" bestFit="1" width="10.0" style="5"/>
    <col min="15638" max="15638" customWidth="1" bestFit="1" width="10.0" style="5"/>
    <col min="15639" max="15639" customWidth="1" bestFit="1" width="10.0" style="5"/>
    <col min="15640" max="15640" customWidth="1" bestFit="1" width="10.0" style="5"/>
    <col min="15641" max="15641" customWidth="1" bestFit="1" width="10.0" style="5"/>
    <col min="15642" max="15642" customWidth="1" bestFit="1" width="10.0" style="5"/>
    <col min="15643" max="15643" customWidth="1" bestFit="1" width="10.0" style="5"/>
    <col min="15644" max="15644" customWidth="1" bestFit="1" width="10.0" style="5"/>
    <col min="15645" max="15645" customWidth="1" bestFit="1" width="10.0" style="5"/>
    <col min="15646" max="15646" customWidth="1" bestFit="1" width="10.0" style="5"/>
    <col min="15647" max="15647" customWidth="1" bestFit="1" width="10.0" style="5"/>
    <col min="15648" max="15648" customWidth="1" bestFit="1" width="10.0" style="5"/>
    <col min="15649" max="15649" customWidth="1" bestFit="1" width="10.0" style="5"/>
    <col min="15650" max="15650" customWidth="1" bestFit="1" width="10.0" style="5"/>
    <col min="15651" max="15651" customWidth="1" bestFit="1" width="10.0" style="5"/>
    <col min="15652" max="15652" customWidth="1" bestFit="1" width="10.0" style="5"/>
    <col min="15653" max="15653" customWidth="1" bestFit="1" width="10.0" style="5"/>
    <col min="15654" max="15654" customWidth="1" bestFit="1" width="10.0" style="5"/>
    <col min="15655" max="15655" customWidth="1" bestFit="1" width="10.0" style="5"/>
    <col min="15656" max="15656" customWidth="1" bestFit="1" width="10.0" style="5"/>
    <col min="15657" max="15657" customWidth="1" bestFit="1" width="10.0" style="5"/>
    <col min="15658" max="15658" customWidth="1" bestFit="1" width="10.0" style="5"/>
    <col min="15659" max="15659" customWidth="1" bestFit="1" width="10.0" style="5"/>
    <col min="15660" max="15660" customWidth="1" bestFit="1" width="10.0" style="5"/>
    <col min="15661" max="15661" customWidth="1" bestFit="1" width="10.0" style="5"/>
    <col min="15662" max="15662" customWidth="1" bestFit="1" width="10.0" style="5"/>
    <col min="15663" max="15663" customWidth="1" bestFit="1" width="10.0" style="5"/>
    <col min="15664" max="15664" customWidth="1" bestFit="1" width="10.0" style="5"/>
    <col min="15665" max="15665" customWidth="1" bestFit="1" width="10.0" style="5"/>
    <col min="15666" max="15666" customWidth="1" bestFit="1" width="10.0" style="5"/>
    <col min="15667" max="15667" customWidth="1" bestFit="1" width="10.0" style="5"/>
    <col min="15668" max="15668" customWidth="1" bestFit="1" width="10.0" style="5"/>
    <col min="15669" max="15669" customWidth="1" bestFit="1" width="10.0" style="5"/>
    <col min="15670" max="15670" customWidth="1" bestFit="1" width="10.0" style="5"/>
    <col min="15671" max="15671" customWidth="1" bestFit="1" width="10.0" style="5"/>
    <col min="15672" max="15672" customWidth="1" bestFit="1" width="10.0" style="5"/>
    <col min="15673" max="15673" customWidth="1" bestFit="1" width="10.0" style="5"/>
    <col min="15674" max="15674" customWidth="1" bestFit="1" width="10.0" style="5"/>
    <col min="15675" max="15675" customWidth="1" bestFit="1" width="10.0" style="5"/>
    <col min="15676" max="15676" customWidth="1" bestFit="1" width="10.0" style="5"/>
    <col min="15677" max="15677" customWidth="1" bestFit="1" width="10.0" style="5"/>
    <col min="15678" max="15678" customWidth="1" bestFit="1" width="10.0" style="5"/>
    <col min="15679" max="15679" customWidth="1" bestFit="1" width="10.0" style="5"/>
    <col min="15680" max="15680" customWidth="1" bestFit="1" width="10.0" style="5"/>
    <col min="15681" max="15681" customWidth="1" bestFit="1" width="10.0" style="5"/>
    <col min="15682" max="15682" customWidth="1" bestFit="1" width="10.0" style="5"/>
    <col min="15683" max="15683" customWidth="1" bestFit="1" width="10.0" style="5"/>
    <col min="15684" max="15684" customWidth="1" bestFit="1" width="10.0" style="5"/>
    <col min="15685" max="15685" customWidth="1" bestFit="1" width="10.0" style="5"/>
    <col min="15686" max="15686" customWidth="1" bestFit="1" width="10.0" style="5"/>
    <col min="15687" max="15687" customWidth="1" bestFit="1" width="10.0" style="5"/>
    <col min="15688" max="15688" customWidth="1" bestFit="1" width="10.0" style="5"/>
    <col min="15689" max="15689" customWidth="1" bestFit="1" width="10.0" style="5"/>
    <col min="15690" max="15690" customWidth="1" bestFit="1" width="10.0" style="5"/>
    <col min="15691" max="15691" customWidth="1" bestFit="1" width="10.0" style="5"/>
    <col min="15692" max="15692" customWidth="1" bestFit="1" width="10.0" style="5"/>
    <col min="15693" max="15693" customWidth="1" bestFit="1" width="10.0" style="5"/>
    <col min="15694" max="15694" customWidth="1" bestFit="1" width="10.0" style="5"/>
    <col min="15695" max="15695" customWidth="1" bestFit="1" width="10.0" style="5"/>
    <col min="15696" max="15696" customWidth="1" bestFit="1" width="10.0" style="5"/>
    <col min="15697" max="15697" customWidth="1" bestFit="1" width="10.0" style="5"/>
    <col min="15698" max="15698" customWidth="1" bestFit="1" width="10.0" style="5"/>
    <col min="15699" max="15699" customWidth="1" bestFit="1" width="10.0" style="5"/>
    <col min="15700" max="15700" customWidth="1" bestFit="1" width="10.0" style="5"/>
    <col min="15701" max="15701" customWidth="1" bestFit="1" width="10.0" style="5"/>
    <col min="15702" max="15702" customWidth="1" bestFit="1" width="10.0" style="5"/>
    <col min="15703" max="15703" customWidth="1" bestFit="1" width="10.0" style="5"/>
    <col min="15704" max="15704" customWidth="1" bestFit="1" width="10.0" style="5"/>
    <col min="15705" max="15705" customWidth="1" bestFit="1" width="10.0" style="5"/>
    <col min="15706" max="15706" customWidth="1" bestFit="1" width="10.0" style="5"/>
    <col min="15707" max="15707" customWidth="1" bestFit="1" width="10.0" style="5"/>
    <col min="15708" max="15708" customWidth="1" bestFit="1" width="10.0" style="5"/>
    <col min="15709" max="15709" customWidth="1" bestFit="1" width="10.0" style="5"/>
    <col min="15710" max="15710" customWidth="1" bestFit="1" width="10.0" style="5"/>
    <col min="15711" max="15711" customWidth="1" bestFit="1" width="10.0" style="5"/>
    <col min="15712" max="15712" customWidth="1" bestFit="1" width="10.0" style="5"/>
    <col min="15713" max="15713" customWidth="1" bestFit="1" width="10.0" style="5"/>
    <col min="15714" max="15714" customWidth="1" bestFit="1" width="10.0" style="5"/>
    <col min="15715" max="15715" customWidth="1" bestFit="1" width="10.0" style="5"/>
    <col min="15716" max="15716" customWidth="1" bestFit="1" width="10.0" style="5"/>
    <col min="15717" max="15717" customWidth="1" bestFit="1" width="10.0" style="5"/>
    <col min="15718" max="15718" customWidth="1" bestFit="1" width="10.0" style="5"/>
    <col min="15719" max="15719" customWidth="1" bestFit="1" width="10.0" style="5"/>
    <col min="15720" max="15720" customWidth="1" bestFit="1" width="10.0" style="5"/>
    <col min="15721" max="15721" customWidth="1" bestFit="1" width="10.0" style="5"/>
    <col min="15722" max="15722" customWidth="1" bestFit="1" width="10.0" style="5"/>
    <col min="15723" max="15723" customWidth="1" bestFit="1" width="10.0" style="5"/>
    <col min="15724" max="15724" customWidth="1" bestFit="1" width="10.0" style="5"/>
    <col min="15725" max="15725" customWidth="1" bestFit="1" width="10.0" style="5"/>
    <col min="15726" max="15726" customWidth="1" bestFit="1" width="10.0" style="5"/>
    <col min="15727" max="15727" customWidth="1" bestFit="1" width="10.0" style="5"/>
    <col min="15728" max="15728" customWidth="1" bestFit="1" width="10.0" style="5"/>
    <col min="15729" max="15729" customWidth="1" bestFit="1" width="10.0" style="5"/>
    <col min="15730" max="15730" customWidth="1" bestFit="1" width="10.0" style="5"/>
    <col min="15731" max="15731" customWidth="1" bestFit="1" width="10.0" style="5"/>
    <col min="15732" max="15732" customWidth="1" bestFit="1" width="10.0" style="5"/>
    <col min="15733" max="15733" customWidth="1" bestFit="1" width="10.0" style="5"/>
    <col min="15734" max="15734" customWidth="1" bestFit="1" width="10.0" style="5"/>
    <col min="15735" max="15735" customWidth="1" bestFit="1" width="10.0" style="5"/>
    <col min="15736" max="15736" customWidth="1" bestFit="1" width="10.0" style="5"/>
    <col min="15737" max="15737" customWidth="1" bestFit="1" width="10.0" style="5"/>
    <col min="15738" max="15738" customWidth="1" bestFit="1" width="10.0" style="5"/>
    <col min="15739" max="15739" customWidth="1" bestFit="1" width="10.0" style="5"/>
    <col min="15740" max="15740" customWidth="1" bestFit="1" width="10.0" style="5"/>
    <col min="15741" max="15741" customWidth="1" bestFit="1" width="10.0" style="5"/>
    <col min="15742" max="15742" customWidth="1" bestFit="1" width="10.0" style="5"/>
    <col min="15743" max="15743" customWidth="1" bestFit="1" width="10.0" style="5"/>
    <col min="15744" max="15744" customWidth="1" bestFit="1" width="10.0" style="5"/>
    <col min="15745" max="15745" customWidth="1" bestFit="1" width="10.0" style="5"/>
    <col min="15746" max="15746" customWidth="1" bestFit="1" width="10.0" style="5"/>
    <col min="15747" max="15747" customWidth="1" bestFit="1" width="10.0" style="5"/>
    <col min="15748" max="15748" customWidth="1" bestFit="1" width="10.0" style="5"/>
    <col min="15749" max="15749" customWidth="1" bestFit="1" width="10.0" style="5"/>
    <col min="15750" max="15750" customWidth="1" bestFit="1" width="10.0" style="5"/>
    <col min="15751" max="15751" customWidth="1" bestFit="1" width="10.0" style="5"/>
    <col min="15752" max="15752" customWidth="1" bestFit="1" width="10.0" style="5"/>
    <col min="15753" max="15753" customWidth="1" bestFit="1" width="10.0" style="5"/>
    <col min="15754" max="15754" customWidth="1" bestFit="1" width="10.0" style="5"/>
    <col min="15755" max="15755" customWidth="1" bestFit="1" width="10.0" style="5"/>
    <col min="15756" max="15756" customWidth="1" bestFit="1" width="10.0" style="5"/>
    <col min="15757" max="15757" customWidth="1" bestFit="1" width="10.0" style="5"/>
    <col min="15758" max="15758" customWidth="1" bestFit="1" width="10.0" style="5"/>
    <col min="15759" max="15759" customWidth="1" bestFit="1" width="10.0" style="5"/>
    <col min="15760" max="15760" customWidth="1" bestFit="1" width="10.0" style="5"/>
    <col min="15761" max="15761" customWidth="1" bestFit="1" width="10.0" style="5"/>
    <col min="15762" max="15762" customWidth="1" bestFit="1" width="10.0" style="5"/>
    <col min="15763" max="15763" customWidth="1" bestFit="1" width="10.0" style="5"/>
    <col min="15764" max="15764" customWidth="1" bestFit="1" width="10.0" style="5"/>
    <col min="15765" max="15765" customWidth="1" bestFit="1" width="10.0" style="5"/>
    <col min="15766" max="15766" customWidth="1" bestFit="1" width="10.0" style="5"/>
    <col min="15767" max="15767" customWidth="1" bestFit="1" width="10.0" style="5"/>
    <col min="15768" max="15768" customWidth="1" bestFit="1" width="10.0" style="5"/>
    <col min="15769" max="15769" customWidth="1" bestFit="1" width="10.0" style="5"/>
    <col min="15770" max="15770" customWidth="1" bestFit="1" width="10.0" style="5"/>
    <col min="15771" max="15771" customWidth="1" bestFit="1" width="10.0" style="5"/>
    <col min="15772" max="15772" customWidth="1" bestFit="1" width="10.0" style="5"/>
    <col min="15773" max="15773" customWidth="1" bestFit="1" width="10.0" style="5"/>
    <col min="15774" max="15774" customWidth="1" bestFit="1" width="10.0" style="5"/>
    <col min="15775" max="15775" customWidth="1" bestFit="1" width="10.0" style="5"/>
    <col min="15776" max="15776" customWidth="1" bestFit="1" width="10.0" style="5"/>
    <col min="15777" max="15777" customWidth="1" bestFit="1" width="10.0" style="5"/>
    <col min="15778" max="15778" customWidth="1" bestFit="1" width="10.0" style="5"/>
    <col min="15779" max="15779" customWidth="1" bestFit="1" width="10.0" style="5"/>
    <col min="15780" max="15780" customWidth="1" bestFit="1" width="10.0" style="5"/>
    <col min="15781" max="15781" customWidth="1" bestFit="1" width="10.0" style="5"/>
    <col min="15782" max="15782" customWidth="1" bestFit="1" width="10.0" style="5"/>
    <col min="15783" max="15783" customWidth="1" bestFit="1" width="10.0" style="5"/>
    <col min="15784" max="15784" customWidth="1" bestFit="1" width="10.0" style="5"/>
    <col min="15785" max="15785" customWidth="1" bestFit="1" width="10.0" style="5"/>
    <col min="15786" max="15786" customWidth="1" bestFit="1" width="10.0" style="5"/>
    <col min="15787" max="15787" customWidth="1" bestFit="1" width="10.0" style="5"/>
    <col min="15788" max="15788" customWidth="1" bestFit="1" width="10.0" style="5"/>
    <col min="15789" max="15789" customWidth="1" bestFit="1" width="10.0" style="5"/>
    <col min="15790" max="15790" customWidth="1" bestFit="1" width="10.0" style="5"/>
    <col min="15791" max="15791" customWidth="1" bestFit="1" width="10.0" style="5"/>
    <col min="15792" max="15792" customWidth="1" bestFit="1" width="10.0" style="5"/>
    <col min="15793" max="15793" customWidth="1" bestFit="1" width="10.0" style="5"/>
    <col min="15794" max="15794" customWidth="1" bestFit="1" width="10.0" style="5"/>
    <col min="15795" max="15795" customWidth="1" bestFit="1" width="10.0" style="5"/>
    <col min="15796" max="15796" customWidth="1" bestFit="1" width="10.0" style="5"/>
    <col min="15797" max="15797" customWidth="1" bestFit="1" width="10.0" style="5"/>
    <col min="15798" max="15798" customWidth="1" bestFit="1" width="10.0" style="5"/>
    <col min="15799" max="15799" customWidth="1" bestFit="1" width="10.0" style="5"/>
    <col min="15800" max="15800" customWidth="1" bestFit="1" width="10.0" style="5"/>
    <col min="15801" max="15801" customWidth="1" bestFit="1" width="10.0" style="5"/>
    <col min="15802" max="15802" customWidth="1" bestFit="1" width="10.0" style="5"/>
    <col min="15803" max="15803" customWidth="1" bestFit="1" width="10.0" style="5"/>
    <col min="15804" max="15804" customWidth="1" bestFit="1" width="10.0" style="5"/>
    <col min="15805" max="15805" customWidth="1" bestFit="1" width="10.0" style="5"/>
    <col min="15806" max="15806" customWidth="1" bestFit="1" width="10.0" style="5"/>
    <col min="15807" max="15807" customWidth="1" bestFit="1" width="10.0" style="5"/>
    <col min="15808" max="15808" customWidth="1" bestFit="1" width="10.0" style="5"/>
    <col min="15809" max="15809" customWidth="1" bestFit="1" width="10.0" style="5"/>
    <col min="15810" max="15810" customWidth="1" bestFit="1" width="10.0" style="5"/>
    <col min="15811" max="15811" customWidth="1" bestFit="1" width="10.0" style="5"/>
    <col min="15812" max="15812" customWidth="1" bestFit="1" width="10.0" style="5"/>
    <col min="15813" max="15813" customWidth="1" bestFit="1" width="10.0" style="5"/>
    <col min="15814" max="15814" customWidth="1" bestFit="1" width="10.0" style="5"/>
    <col min="15815" max="15815" customWidth="1" bestFit="1" width="10.0" style="5"/>
    <col min="15816" max="15816" customWidth="1" bestFit="1" width="10.0" style="5"/>
    <col min="15817" max="15817" customWidth="1" bestFit="1" width="10.0" style="5"/>
    <col min="15818" max="15818" customWidth="1" bestFit="1" width="10.0" style="5"/>
    <col min="15819" max="15819" customWidth="1" bestFit="1" width="10.0" style="5"/>
    <col min="15820" max="15820" customWidth="1" bestFit="1" width="10.0" style="5"/>
    <col min="15821" max="15821" customWidth="1" bestFit="1" width="10.0" style="5"/>
    <col min="15822" max="15822" customWidth="1" bestFit="1" width="10.0" style="5"/>
    <col min="15823" max="15823" customWidth="1" bestFit="1" width="10.0" style="5"/>
    <col min="15824" max="15824" customWidth="1" bestFit="1" width="10.0" style="5"/>
    <col min="15825" max="15825" customWidth="1" bestFit="1" width="10.0" style="5"/>
    <col min="15826" max="15826" customWidth="1" bestFit="1" width="10.0" style="5"/>
    <col min="15827" max="15827" customWidth="1" bestFit="1" width="10.0" style="5"/>
    <col min="15828" max="15828" customWidth="1" bestFit="1" width="10.0" style="5"/>
    <col min="15829" max="15829" customWidth="1" bestFit="1" width="10.0" style="5"/>
    <col min="15830" max="15830" customWidth="1" bestFit="1" width="10.0" style="5"/>
    <col min="15831" max="15831" customWidth="1" bestFit="1" width="10.0" style="5"/>
    <col min="15832" max="15832" customWidth="1" bestFit="1" width="10.0" style="5"/>
    <col min="15833" max="15833" customWidth="1" bestFit="1" width="10.0" style="5"/>
    <col min="15834" max="15834" customWidth="1" bestFit="1" width="10.0" style="5"/>
    <col min="15835" max="15835" customWidth="1" bestFit="1" width="10.0" style="5"/>
    <col min="15836" max="15836" customWidth="1" bestFit="1" width="10.0" style="5"/>
    <col min="15837" max="15837" customWidth="1" bestFit="1" width="10.0" style="5"/>
    <col min="15838" max="15838" customWidth="1" bestFit="1" width="10.0" style="5"/>
    <col min="15839" max="15839" customWidth="1" bestFit="1" width="10.0" style="5"/>
    <col min="15840" max="15840" customWidth="1" bestFit="1" width="10.0" style="5"/>
    <col min="15841" max="15841" customWidth="1" bestFit="1" width="10.0" style="5"/>
    <col min="15842" max="15842" customWidth="1" bestFit="1" width="10.0" style="5"/>
    <col min="15843" max="15843" customWidth="1" bestFit="1" width="10.0" style="5"/>
    <col min="15844" max="15844" customWidth="1" bestFit="1" width="10.0" style="5"/>
    <col min="15845" max="15845" customWidth="1" bestFit="1" width="10.0" style="5"/>
    <col min="15846" max="15846" customWidth="1" bestFit="1" width="10.0" style="5"/>
    <col min="15847" max="15847" customWidth="1" bestFit="1" width="10.0" style="5"/>
    <col min="15848" max="15848" customWidth="1" bestFit="1" width="10.0" style="5"/>
    <col min="15849" max="15849" customWidth="1" bestFit="1" width="10.0" style="5"/>
    <col min="15850" max="15850" customWidth="1" bestFit="1" width="10.0" style="5"/>
    <col min="15851" max="15851" customWidth="1" bestFit="1" width="10.0" style="5"/>
    <col min="15852" max="15852" customWidth="1" bestFit="1" width="10.0" style="5"/>
    <col min="15853" max="15853" customWidth="1" bestFit="1" width="10.0" style="5"/>
    <col min="15854" max="15854" customWidth="1" bestFit="1" width="10.0" style="5"/>
    <col min="15855" max="15855" customWidth="1" bestFit="1" width="10.0" style="5"/>
    <col min="15856" max="15856" customWidth="1" bestFit="1" width="10.0" style="5"/>
    <col min="15857" max="15857" customWidth="1" bestFit="1" width="10.0" style="5"/>
    <col min="15858" max="15858" customWidth="1" bestFit="1" width="10.0" style="5"/>
    <col min="15859" max="15859" customWidth="1" bestFit="1" width="10.0" style="5"/>
    <col min="15860" max="15860" customWidth="1" bestFit="1" width="10.0" style="5"/>
    <col min="15861" max="15861" customWidth="1" bestFit="1" width="10.0" style="5"/>
    <col min="15862" max="15862" customWidth="1" bestFit="1" width="10.0" style="5"/>
    <col min="15863" max="15863" customWidth="1" bestFit="1" width="10.0" style="5"/>
    <col min="15864" max="15864" customWidth="1" bestFit="1" width="10.0" style="5"/>
    <col min="15865" max="15865" customWidth="1" bestFit="1" width="10.0" style="5"/>
    <col min="15866" max="15866" customWidth="1" bestFit="1" width="10.0" style="5"/>
    <col min="15867" max="15867" customWidth="1" bestFit="1" width="10.0" style="5"/>
    <col min="15868" max="15868" customWidth="1" bestFit="1" width="10.0" style="5"/>
    <col min="15869" max="15869" customWidth="1" bestFit="1" width="10.0" style="5"/>
    <col min="15870" max="15870" customWidth="1" bestFit="1" width="10.0" style="5"/>
    <col min="15871" max="15871" customWidth="1" bestFit="1" width="10.0" style="5"/>
    <col min="15872" max="15872" customWidth="1" bestFit="1" width="10.0" style="5"/>
    <col min="15873" max="15873" customWidth="1" bestFit="1" width="10.0" style="5"/>
    <col min="15874" max="15874" customWidth="1" bestFit="1" width="10.0" style="5"/>
    <col min="15875" max="15875" customWidth="1" bestFit="1" width="10.0" style="5"/>
    <col min="15876" max="15876" customWidth="1" bestFit="1" width="10.0" style="5"/>
    <col min="15877" max="15877" customWidth="1" bestFit="1" width="10.0" style="5"/>
    <col min="15878" max="15878" customWidth="1" bestFit="1" width="10.0" style="5"/>
    <col min="15879" max="15879" customWidth="1" bestFit="1" width="10.0" style="5"/>
    <col min="15880" max="15880" customWidth="1" bestFit="1" width="10.0" style="5"/>
    <col min="15881" max="15881" customWidth="1" bestFit="1" width="10.0" style="5"/>
    <col min="15882" max="15882" customWidth="1" bestFit="1" width="10.0" style="5"/>
    <col min="15883" max="15883" customWidth="1" bestFit="1" width="10.0" style="5"/>
    <col min="15884" max="15884" customWidth="1" bestFit="1" width="10.0" style="5"/>
    <col min="15885" max="15885" customWidth="1" bestFit="1" width="10.0" style="5"/>
    <col min="15886" max="15886" customWidth="1" bestFit="1" width="10.0" style="5"/>
    <col min="15887" max="15887" customWidth="1" bestFit="1" width="10.0" style="5"/>
    <col min="15888" max="15888" customWidth="1" bestFit="1" width="10.0" style="5"/>
    <col min="15889" max="15889" customWidth="1" bestFit="1" width="10.0" style="5"/>
    <col min="15890" max="15890" customWidth="1" bestFit="1" width="10.0" style="5"/>
    <col min="15891" max="15891" customWidth="1" bestFit="1" width="10.0" style="5"/>
    <col min="15892" max="15892" customWidth="1" bestFit="1" width="10.0" style="5"/>
    <col min="15893" max="15893" customWidth="1" bestFit="1" width="10.0" style="5"/>
    <col min="15894" max="15894" customWidth="1" bestFit="1" width="10.0" style="5"/>
    <col min="15895" max="15895" customWidth="1" bestFit="1" width="10.0" style="5"/>
    <col min="15896" max="15896" customWidth="1" bestFit="1" width="10.0" style="5"/>
    <col min="15897" max="15897" customWidth="1" bestFit="1" width="10.0" style="5"/>
    <col min="15898" max="15898" customWidth="1" bestFit="1" width="10.0" style="5"/>
    <col min="15899" max="15899" customWidth="1" bestFit="1" width="10.0" style="5"/>
    <col min="15900" max="15900" customWidth="1" bestFit="1" width="10.0" style="5"/>
    <col min="15901" max="15901" customWidth="1" bestFit="1" width="10.0" style="5"/>
    <col min="15902" max="15902" customWidth="1" bestFit="1" width="10.0" style="5"/>
    <col min="15903" max="15903" customWidth="1" bestFit="1" width="10.0" style="5"/>
    <col min="15904" max="15904" customWidth="1" bestFit="1" width="10.0" style="5"/>
    <col min="15905" max="15905" customWidth="1" bestFit="1" width="10.0" style="5"/>
    <col min="15906" max="15906" customWidth="1" bestFit="1" width="10.0" style="5"/>
    <col min="15907" max="15907" customWidth="1" bestFit="1" width="10.0" style="5"/>
    <col min="15908" max="15908" customWidth="1" bestFit="1" width="10.0" style="5"/>
    <col min="15909" max="15909" customWidth="1" bestFit="1" width="10.0" style="5"/>
    <col min="15910" max="15910" customWidth="1" bestFit="1" width="10.0" style="5"/>
    <col min="15911" max="15911" customWidth="1" bestFit="1" width="10.0" style="5"/>
    <col min="15912" max="15912" customWidth="1" bestFit="1" width="10.0" style="5"/>
    <col min="15913" max="15913" customWidth="1" bestFit="1" width="10.0" style="5"/>
    <col min="15914" max="15914" customWidth="1" bestFit="1" width="10.0" style="5"/>
    <col min="15915" max="15915" customWidth="1" bestFit="1" width="10.0" style="5"/>
    <col min="15916" max="15916" customWidth="1" bestFit="1" width="10.0" style="5"/>
    <col min="15917" max="15917" customWidth="1" bestFit="1" width="10.0" style="5"/>
    <col min="15918" max="15918" customWidth="1" bestFit="1" width="10.0" style="5"/>
    <col min="15919" max="15919" customWidth="1" bestFit="1" width="10.0" style="5"/>
    <col min="15920" max="15920" customWidth="1" bestFit="1" width="10.0" style="5"/>
    <col min="15921" max="15921" customWidth="1" bestFit="1" width="10.0" style="5"/>
    <col min="15922" max="15922" customWidth="1" bestFit="1" width="10.0" style="5"/>
    <col min="15923" max="15923" customWidth="1" bestFit="1" width="10.0" style="5"/>
    <col min="15924" max="15924" customWidth="1" bestFit="1" width="10.0" style="5"/>
    <col min="15925" max="15925" customWidth="1" bestFit="1" width="10.0" style="5"/>
    <col min="15926" max="15926" customWidth="1" bestFit="1" width="10.0" style="5"/>
    <col min="15927" max="15927" customWidth="1" bestFit="1" width="10.0" style="5"/>
    <col min="15928" max="15928" customWidth="1" bestFit="1" width="10.0" style="5"/>
    <col min="15929" max="15929" customWidth="1" bestFit="1" width="10.0" style="5"/>
    <col min="15930" max="15930" customWidth="1" bestFit="1" width="10.0" style="5"/>
    <col min="15931" max="15931" customWidth="1" bestFit="1" width="10.0" style="5"/>
    <col min="15932" max="15932" customWidth="1" bestFit="1" width="10.0" style="5"/>
    <col min="15933" max="15933" customWidth="1" bestFit="1" width="10.0" style="5"/>
    <col min="15934" max="15934" customWidth="1" bestFit="1" width="10.0" style="5"/>
    <col min="15935" max="15935" customWidth="1" bestFit="1" width="10.0" style="5"/>
    <col min="15936" max="15936" customWidth="1" bestFit="1" width="10.0" style="5"/>
    <col min="15937" max="15937" customWidth="1" bestFit="1" width="10.0" style="5"/>
    <col min="15938" max="15938" customWidth="1" bestFit="1" width="10.0" style="5"/>
    <col min="15939" max="15939" customWidth="1" bestFit="1" width="10.0" style="5"/>
    <col min="15940" max="15940" customWidth="1" bestFit="1" width="10.0" style="5"/>
    <col min="15941" max="15941" customWidth="1" bestFit="1" width="10.0" style="5"/>
    <col min="15942" max="15942" customWidth="1" bestFit="1" width="10.0" style="5"/>
    <col min="15943" max="15943" customWidth="1" bestFit="1" width="10.0" style="5"/>
    <col min="15944" max="15944" customWidth="1" bestFit="1" width="10.0" style="5"/>
    <col min="15945" max="15945" customWidth="1" bestFit="1" width="10.0" style="5"/>
    <col min="15946" max="15946" customWidth="1" bestFit="1" width="10.0" style="5"/>
    <col min="15947" max="15947" customWidth="1" bestFit="1" width="10.0" style="5"/>
    <col min="15948" max="15948" customWidth="1" bestFit="1" width="10.0" style="5"/>
    <col min="15949" max="15949" customWidth="1" bestFit="1" width="10.0" style="5"/>
    <col min="15950" max="15950" customWidth="1" bestFit="1" width="10.0" style="5"/>
    <col min="15951" max="15951" customWidth="1" bestFit="1" width="10.0" style="5"/>
    <col min="15952" max="15952" customWidth="1" bestFit="1" width="10.0" style="5"/>
    <col min="15953" max="15953" customWidth="1" bestFit="1" width="10.0" style="5"/>
    <col min="15954" max="15954" customWidth="1" bestFit="1" width="10.0" style="5"/>
    <col min="15955" max="15955" customWidth="1" bestFit="1" width="10.0" style="5"/>
    <col min="15956" max="15956" customWidth="1" bestFit="1" width="10.0" style="5"/>
    <col min="15957" max="15957" customWidth="1" bestFit="1" width="10.0" style="5"/>
    <col min="15958" max="15958" customWidth="1" bestFit="1" width="10.0" style="5"/>
    <col min="15959" max="15959" customWidth="1" bestFit="1" width="10.0" style="5"/>
    <col min="15960" max="15960" customWidth="1" bestFit="1" width="10.0" style="5"/>
    <col min="15961" max="15961" customWidth="1" bestFit="1" width="10.0" style="5"/>
    <col min="15962" max="15962" customWidth="1" bestFit="1" width="10.0" style="5"/>
    <col min="15963" max="15963" customWidth="1" bestFit="1" width="10.0" style="5"/>
    <col min="15964" max="15964" customWidth="1" bestFit="1" width="10.0" style="5"/>
    <col min="15965" max="15965" customWidth="1" bestFit="1" width="10.0" style="5"/>
    <col min="15966" max="15966" customWidth="1" bestFit="1" width="10.0" style="5"/>
    <col min="15967" max="15967" customWidth="1" bestFit="1" width="10.0" style="5"/>
    <col min="15968" max="15968" customWidth="1" bestFit="1" width="10.0" style="5"/>
    <col min="15969" max="15969" customWidth="1" bestFit="1" width="10.0" style="5"/>
    <col min="15970" max="15970" customWidth="1" bestFit="1" width="10.0" style="5"/>
    <col min="15971" max="15971" customWidth="1" bestFit="1" width="10.0" style="5"/>
    <col min="15972" max="15972" customWidth="1" bestFit="1" width="10.0" style="5"/>
    <col min="15973" max="15973" customWidth="1" bestFit="1" width="10.0" style="5"/>
    <col min="15974" max="15974" customWidth="1" bestFit="1" width="10.0" style="5"/>
    <col min="15975" max="15975" customWidth="1" bestFit="1" width="10.0" style="5"/>
    <col min="15976" max="15976" customWidth="1" bestFit="1" width="10.0" style="5"/>
    <col min="15977" max="15977" customWidth="1" bestFit="1" width="10.0" style="5"/>
    <col min="15978" max="15978" customWidth="1" bestFit="1" width="10.0" style="5"/>
    <col min="15979" max="15979" customWidth="1" bestFit="1" width="10.0" style="5"/>
    <col min="15980" max="15980" customWidth="1" bestFit="1" width="10.0" style="5"/>
    <col min="15981" max="15981" customWidth="1" bestFit="1" width="10.0" style="5"/>
    <col min="15982" max="15982" customWidth="1" bestFit="1" width="10.0" style="5"/>
    <col min="15983" max="15983" customWidth="1" bestFit="1" width="10.0" style="5"/>
    <col min="15984" max="15984" customWidth="1" bestFit="1" width="10.0" style="5"/>
    <col min="15985" max="15985" customWidth="1" bestFit="1" width="10.0" style="5"/>
    <col min="15986" max="15986" customWidth="1" bestFit="1" width="10.0" style="5"/>
    <col min="15987" max="15987" customWidth="1" bestFit="1" width="10.0" style="5"/>
    <col min="15988" max="15988" customWidth="1" bestFit="1" width="10.0" style="5"/>
    <col min="15989" max="15989" customWidth="1" bestFit="1" width="10.0" style="5"/>
    <col min="15990" max="15990" customWidth="1" bestFit="1" width="10.0" style="5"/>
    <col min="15991" max="15991" customWidth="1" bestFit="1" width="10.0" style="5"/>
    <col min="15992" max="15992" customWidth="1" bestFit="1" width="10.0" style="5"/>
    <col min="15993" max="15993" customWidth="1" bestFit="1" width="10.0" style="5"/>
    <col min="15994" max="15994" customWidth="1" bestFit="1" width="10.0" style="5"/>
    <col min="15995" max="15995" customWidth="1" bestFit="1" width="10.0" style="5"/>
    <col min="15996" max="15996" customWidth="1" bestFit="1" width="10.0" style="5"/>
    <col min="15997" max="15997" customWidth="1" bestFit="1" width="10.0" style="5"/>
    <col min="15998" max="15998" customWidth="1" bestFit="1" width="10.0" style="5"/>
    <col min="15999" max="15999" customWidth="1" bestFit="1" width="10.0" style="5"/>
    <col min="16000" max="16000" customWidth="1" bestFit="1" width="10.0" style="5"/>
    <col min="16001" max="16001" customWidth="1" bestFit="1" width="10.0" style="5"/>
    <col min="16002" max="16002" customWidth="1" bestFit="1" width="10.0" style="5"/>
    <col min="16003" max="16003" customWidth="1" bestFit="1" width="10.0" style="5"/>
    <col min="16004" max="16004" customWidth="1" bestFit="1" width="10.0" style="5"/>
    <col min="16005" max="16005" customWidth="1" bestFit="1" width="10.0" style="5"/>
    <col min="16006" max="16006" customWidth="1" bestFit="1" width="10.0" style="5"/>
    <col min="16007" max="16007" customWidth="1" bestFit="1" width="10.0" style="5"/>
    <col min="16008" max="16008" customWidth="1" bestFit="1" width="10.0" style="5"/>
    <col min="16009" max="16009" customWidth="1" bestFit="1" width="10.0" style="5"/>
    <col min="16010" max="16010" customWidth="1" bestFit="1" width="10.0" style="5"/>
    <col min="16011" max="16011" customWidth="1" bestFit="1" width="10.0" style="5"/>
    <col min="16012" max="16012" customWidth="1" bestFit="1" width="10.0" style="5"/>
    <col min="16013" max="16013" customWidth="1" bestFit="1" width="10.0" style="5"/>
    <col min="16014" max="16014" customWidth="1" bestFit="1" width="10.0" style="5"/>
    <col min="16015" max="16015" customWidth="1" bestFit="1" width="10.0" style="5"/>
    <col min="16016" max="16016" customWidth="1" bestFit="1" width="10.0" style="5"/>
    <col min="16017" max="16017" customWidth="1" bestFit="1" width="10.0" style="5"/>
    <col min="16018" max="16018" customWidth="1" bestFit="1" width="10.0" style="5"/>
    <col min="16019" max="16019" customWidth="1" bestFit="1" width="10.0" style="5"/>
    <col min="16020" max="16020" customWidth="1" bestFit="1" width="10.0" style="5"/>
    <col min="16021" max="16021" customWidth="1" bestFit="1" width="10.0" style="5"/>
    <col min="16022" max="16022" customWidth="1" bestFit="1" width="10.0" style="5"/>
    <col min="16023" max="16023" customWidth="1" bestFit="1" width="10.0" style="5"/>
    <col min="16024" max="16024" customWidth="1" bestFit="1" width="10.0" style="5"/>
    <col min="16025" max="16025" customWidth="1" bestFit="1" width="10.0" style="5"/>
    <col min="16026" max="16026" customWidth="1" bestFit="1" width="10.0" style="5"/>
    <col min="16027" max="16027" customWidth="1" bestFit="1" width="10.0" style="5"/>
    <col min="16028" max="16028" customWidth="1" bestFit="1" width="10.0" style="5"/>
    <col min="16029" max="16029" customWidth="1" bestFit="1" width="10.0" style="5"/>
    <col min="16030" max="16030" customWidth="1" bestFit="1" width="10.0" style="5"/>
    <col min="16031" max="16031" customWidth="1" bestFit="1" width="10.0" style="5"/>
    <col min="16032" max="16032" customWidth="1" bestFit="1" width="10.0" style="5"/>
    <col min="16033" max="16033" customWidth="1" bestFit="1" width="10.0" style="5"/>
    <col min="16034" max="16034" customWidth="1" bestFit="1" width="10.0" style="5"/>
    <col min="16035" max="16035" customWidth="1" bestFit="1" width="10.0" style="5"/>
    <col min="16036" max="16036" customWidth="1" bestFit="1" width="10.0" style="5"/>
    <col min="16037" max="16037" customWidth="1" bestFit="1" width="10.0" style="5"/>
    <col min="16038" max="16038" customWidth="1" bestFit="1" width="10.0" style="5"/>
    <col min="16039" max="16039" customWidth="1" bestFit="1" width="10.0" style="5"/>
    <col min="16040" max="16040" customWidth="1" bestFit="1" width="10.0" style="5"/>
    <col min="16041" max="16041" customWidth="1" bestFit="1" width="10.0" style="5"/>
    <col min="16042" max="16042" customWidth="1" bestFit="1" width="10.0" style="5"/>
    <col min="16043" max="16043" customWidth="1" bestFit="1" width="10.0" style="5"/>
    <col min="16044" max="16044" customWidth="1" bestFit="1" width="10.0" style="5"/>
    <col min="16045" max="16045" customWidth="1" bestFit="1" width="10.0" style="5"/>
    <col min="16046" max="16046" customWidth="1" bestFit="1" width="10.0" style="5"/>
    <col min="16047" max="16047" customWidth="1" bestFit="1" width="10.0" style="5"/>
    <col min="16048" max="16048" customWidth="1" bestFit="1" width="10.0" style="5"/>
    <col min="16049" max="16049" customWidth="1" bestFit="1" width="10.0" style="5"/>
    <col min="16050" max="16050" customWidth="1" bestFit="1" width="10.0" style="5"/>
    <col min="16051" max="16051" customWidth="1" bestFit="1" width="10.0" style="5"/>
    <col min="16052" max="16052" customWidth="1" bestFit="1" width="10.0" style="5"/>
    <col min="16053" max="16053" customWidth="1" bestFit="1" width="10.0" style="5"/>
    <col min="16054" max="16054" customWidth="1" bestFit="1" width="10.0" style="5"/>
    <col min="16055" max="16055" customWidth="1" bestFit="1" width="10.0" style="5"/>
    <col min="16056" max="16056" customWidth="1" bestFit="1" width="10.0" style="5"/>
    <col min="16057" max="16057" customWidth="1" bestFit="1" width="10.0" style="5"/>
    <col min="16058" max="16058" customWidth="1" bestFit="1" width="10.0" style="5"/>
    <col min="16059" max="16059" customWidth="1" bestFit="1" width="10.0" style="5"/>
    <col min="16060" max="16060" customWidth="1" bestFit="1" width="10.0" style="5"/>
    <col min="16061" max="16061" customWidth="1" bestFit="1" width="10.0" style="5"/>
    <col min="16062" max="16062" customWidth="1" bestFit="1" width="10.0" style="5"/>
    <col min="16063" max="16063" customWidth="1" bestFit="1" width="10.0" style="5"/>
    <col min="16064" max="16064" customWidth="1" bestFit="1" width="10.0" style="5"/>
    <col min="16065" max="16065" customWidth="1" bestFit="1" width="10.0" style="5"/>
    <col min="16066" max="16066" customWidth="1" bestFit="1" width="10.0" style="5"/>
    <col min="16067" max="16067" customWidth="1" bestFit="1" width="10.0" style="5"/>
    <col min="16068" max="16068" customWidth="1" bestFit="1" width="10.0" style="5"/>
    <col min="16069" max="16069" customWidth="1" bestFit="1" width="10.0" style="5"/>
    <col min="16070" max="16070" customWidth="1" bestFit="1" width="10.0" style="5"/>
    <col min="16071" max="16071" customWidth="1" bestFit="1" width="10.0" style="5"/>
    <col min="16072" max="16072" customWidth="1" bestFit="1" width="10.0" style="5"/>
    <col min="16073" max="16073" customWidth="1" bestFit="1" width="10.0" style="5"/>
    <col min="16074" max="16074" customWidth="1" bestFit="1" width="10.0" style="5"/>
    <col min="16075" max="16075" customWidth="1" bestFit="1" width="10.0" style="5"/>
    <col min="16076" max="16076" customWidth="1" bestFit="1" width="10.0" style="5"/>
    <col min="16077" max="16077" customWidth="1" bestFit="1" width="10.0" style="5"/>
    <col min="16078" max="16078" customWidth="1" bestFit="1" width="10.0" style="5"/>
    <col min="16079" max="16079" customWidth="1" bestFit="1" width="10.0" style="5"/>
    <col min="16080" max="16080" customWidth="1" bestFit="1" width="10.0" style="5"/>
    <col min="16081" max="16081" customWidth="1" bestFit="1" width="10.0" style="5"/>
    <col min="16082" max="16082" customWidth="1" bestFit="1" width="10.0" style="5"/>
    <col min="16083" max="16083" customWidth="1" bestFit="1" width="10.0" style="5"/>
    <col min="16084" max="16084" customWidth="1" bestFit="1" width="10.0" style="5"/>
    <col min="16085" max="16085" customWidth="1" bestFit="1" width="10.0" style="5"/>
    <col min="16086" max="16086" customWidth="1" bestFit="1" width="10.0" style="5"/>
    <col min="16087" max="16087" customWidth="1" bestFit="1" width="10.0" style="5"/>
    <col min="16088" max="16088" customWidth="1" bestFit="1" width="10.0" style="5"/>
    <col min="16089" max="16089" customWidth="1" bestFit="1" width="10.0" style="5"/>
    <col min="16090" max="16090" customWidth="1" bestFit="1" width="10.0" style="5"/>
    <col min="16091" max="16091" customWidth="1" bestFit="1" width="10.0" style="5"/>
    <col min="16092" max="16092" customWidth="1" bestFit="1" width="10.0" style="5"/>
    <col min="16093" max="16093" customWidth="1" bestFit="1" width="10.0" style="5"/>
    <col min="16094" max="16094" customWidth="1" bestFit="1" width="10.0" style="5"/>
    <col min="16095" max="16095" customWidth="1" bestFit="1" width="10.0" style="5"/>
    <col min="16096" max="16096" customWidth="1" bestFit="1" width="10.0" style="5"/>
    <col min="16097" max="16097" customWidth="1" bestFit="1" width="10.0" style="5"/>
    <col min="16098" max="16098" customWidth="1" bestFit="1" width="10.0" style="5"/>
    <col min="16099" max="16099" customWidth="1" bestFit="1" width="10.0" style="5"/>
    <col min="16100" max="16100" customWidth="1" bestFit="1" width="10.0" style="5"/>
    <col min="16101" max="16101" customWidth="1" bestFit="1" width="10.0" style="5"/>
    <col min="16102" max="16102" customWidth="1" bestFit="1" width="10.0" style="5"/>
    <col min="16103" max="16103" customWidth="1" bestFit="1" width="10.0" style="5"/>
    <col min="16104" max="16104" customWidth="1" bestFit="1" width="10.0" style="5"/>
    <col min="16105" max="16105" customWidth="1" bestFit="1" width="10.0" style="5"/>
    <col min="16106" max="16106" customWidth="1" bestFit="1" width="10.0" style="5"/>
    <col min="16107" max="16107" customWidth="1" bestFit="1" width="10.0" style="5"/>
    <col min="16108" max="16108" customWidth="1" bestFit="1" width="10.0" style="5"/>
    <col min="16109" max="16109" customWidth="1" bestFit="1" width="10.0" style="5"/>
    <col min="16110" max="16110" customWidth="1" bestFit="1" width="10.0" style="5"/>
    <col min="16111" max="16111" customWidth="1" bestFit="1" width="10.0" style="5"/>
    <col min="16112" max="16112" customWidth="1" bestFit="1" width="10.0" style="5"/>
    <col min="16113" max="16113" customWidth="1" bestFit="1" width="10.0" style="5"/>
    <col min="16114" max="16114" customWidth="1" bestFit="1" width="10.0" style="5"/>
    <col min="16115" max="16115" customWidth="1" bestFit="1" width="10.0" style="5"/>
    <col min="16116" max="16116" customWidth="1" bestFit="1" width="10.0" style="5"/>
    <col min="16117" max="16117" customWidth="1" bestFit="1" width="10.0" style="5"/>
    <col min="16118" max="16118" customWidth="1" bestFit="1" width="10.0" style="5"/>
    <col min="16119" max="16119" customWidth="1" bestFit="1" width="10.0" style="5"/>
    <col min="16120" max="16120" customWidth="1" bestFit="1" width="10.0" style="5"/>
    <col min="16121" max="16121" customWidth="1" bestFit="1" width="10.0" style="5"/>
    <col min="16122" max="16122" customWidth="1" bestFit="1" width="10.0" style="5"/>
    <col min="16123" max="16123" customWidth="1" bestFit="1" width="10.0" style="5"/>
    <col min="16124" max="16124" customWidth="1" bestFit="1" width="10.0" style="5"/>
    <col min="16125" max="16125" customWidth="1" bestFit="1" width="10.0" style="5"/>
    <col min="16126" max="16126" customWidth="1" bestFit="1" width="10.0" style="5"/>
    <col min="16127" max="16127" customWidth="1" bestFit="1" width="10.0" style="5"/>
    <col min="16128" max="16128" customWidth="1" bestFit="1" width="10.0" style="5"/>
    <col min="16129" max="16129" customWidth="1" bestFit="1" width="10.0" style="5"/>
    <col min="16130" max="16130" customWidth="1" bestFit="1" width="10.0" style="5"/>
    <col min="16131" max="16131" customWidth="1" bestFit="1" width="10.0" style="5"/>
    <col min="16132" max="16132" customWidth="1" bestFit="1" width="10.0" style="5"/>
    <col min="16133" max="16133" customWidth="1" bestFit="1" width="10.0" style="5"/>
    <col min="16134" max="16134" customWidth="1" bestFit="1" width="10.0" style="5"/>
    <col min="16135" max="16135" customWidth="1" bestFit="1" width="10.0" style="5"/>
    <col min="16136" max="16136" customWidth="1" bestFit="1" width="10.0" style="5"/>
    <col min="16137" max="16137" customWidth="1" bestFit="1" width="10.0" style="5"/>
    <col min="16138" max="16138" customWidth="1" bestFit="1" width="10.0" style="5"/>
    <col min="16139" max="16139" customWidth="1" bestFit="1" width="10.0" style="5"/>
    <col min="16140" max="16140" customWidth="1" bestFit="1" width="10.0" style="5"/>
    <col min="16141" max="16141" customWidth="1" bestFit="1" width="10.0" style="5"/>
    <col min="16142" max="16142" customWidth="1" bestFit="1" width="10.0" style="5"/>
    <col min="16143" max="16143" customWidth="1" bestFit="1" width="10.0" style="5"/>
    <col min="16144" max="16144" customWidth="1" bestFit="1" width="10.0" style="5"/>
    <col min="16145" max="16145" customWidth="1" bestFit="1" width="10.0" style="5"/>
    <col min="16146" max="16146" customWidth="1" bestFit="1" width="10.0" style="5"/>
    <col min="16147" max="16147" customWidth="1" bestFit="1" width="10.0" style="5"/>
    <col min="16148" max="16148" customWidth="1" bestFit="1" width="10.0" style="5"/>
    <col min="16149" max="16149" customWidth="1" bestFit="1" width="10.0" style="5"/>
    <col min="16150" max="16150" customWidth="1" bestFit="1" width="10.0" style="5"/>
    <col min="16151" max="16151" customWidth="1" bestFit="1" width="10.0" style="5"/>
    <col min="16152" max="16152" customWidth="1" bestFit="1" width="10.0" style="5"/>
    <col min="16153" max="16153" customWidth="1" bestFit="1" width="10.0" style="5"/>
    <col min="16154" max="16154" customWidth="1" bestFit="1" width="10.0" style="5"/>
    <col min="16155" max="16155" customWidth="1" bestFit="1" width="10.0" style="5"/>
    <col min="16156" max="16156" customWidth="1" bestFit="1" width="10.0" style="5"/>
    <col min="16157" max="16157" customWidth="1" bestFit="1" width="10.0" style="5"/>
    <col min="16158" max="16158" customWidth="1" bestFit="1" width="10.0" style="5"/>
    <col min="16159" max="16159" customWidth="1" bestFit="1" width="10.0" style="5"/>
    <col min="16160" max="16160" customWidth="1" bestFit="1" width="10.0" style="5"/>
    <col min="16161" max="16161" customWidth="1" bestFit="1" width="10.0" style="5"/>
    <col min="16162" max="16162" customWidth="1" bestFit="1" width="10.0" style="5"/>
    <col min="16163" max="16163" customWidth="1" bestFit="1" width="10.0" style="5"/>
    <col min="16164" max="16164" customWidth="1" bestFit="1" width="10.0" style="5"/>
    <col min="16165" max="16165" customWidth="1" bestFit="1" width="10.0" style="5"/>
    <col min="16166" max="16166" customWidth="1" bestFit="1" width="10.0" style="5"/>
    <col min="16167" max="16167" customWidth="1" bestFit="1" width="10.0" style="5"/>
    <col min="16168" max="16168" customWidth="1" bestFit="1" width="10.0" style="5"/>
    <col min="16169" max="16169" customWidth="1" bestFit="1" width="10.0" style="5"/>
    <col min="16170" max="16170" customWidth="1" bestFit="1" width="10.0" style="5"/>
    <col min="16171" max="16171" customWidth="1" bestFit="1" width="10.0" style="5"/>
    <col min="16172" max="16172" customWidth="1" bestFit="1" width="10.0" style="5"/>
    <col min="16173" max="16173" customWidth="1" bestFit="1" width="10.0" style="5"/>
    <col min="16174" max="16174" customWidth="1" bestFit="1" width="10.0" style="5"/>
    <col min="16175" max="16175" customWidth="1" bestFit="1" width="10.0" style="5"/>
    <col min="16176" max="16176" customWidth="1" bestFit="1" width="10.0" style="5"/>
    <col min="16177" max="16177" customWidth="1" bestFit="1" width="10.0" style="5"/>
    <col min="16178" max="16178" customWidth="1" bestFit="1" width="10.0" style="5"/>
    <col min="16179" max="16179" customWidth="1" bestFit="1" width="10.0" style="5"/>
    <col min="16180" max="16180" customWidth="1" bestFit="1" width="10.0" style="5"/>
    <col min="16181" max="16181" customWidth="1" bestFit="1" width="10.0" style="5"/>
    <col min="16182" max="16182" customWidth="1" bestFit="1" width="10.0" style="5"/>
    <col min="16183" max="16183" customWidth="1" bestFit="1" width="10.0" style="5"/>
    <col min="16184" max="16184" customWidth="1" bestFit="1" width="10.0" style="5"/>
    <col min="16185" max="16185" customWidth="1" bestFit="1" width="10.0" style="5"/>
    <col min="16186" max="16186" customWidth="1" bestFit="1" width="10.0" style="5"/>
    <col min="16187" max="16187" customWidth="1" bestFit="1" width="10.0" style="5"/>
    <col min="16188" max="16188" customWidth="1" bestFit="1" width="10.0" style="5"/>
    <col min="16189" max="16189" customWidth="1" bestFit="1" width="10.0" style="5"/>
    <col min="16190" max="16190" customWidth="1" bestFit="1" width="10.0" style="5"/>
    <col min="16191" max="16191" customWidth="1" bestFit="1" width="10.0" style="5"/>
    <col min="16192" max="16192" customWidth="1" bestFit="1" width="10.0" style="5"/>
    <col min="16193" max="16193" customWidth="1" bestFit="1" width="10.0" style="5"/>
    <col min="16194" max="16194" customWidth="1" bestFit="1" width="10.0" style="5"/>
    <col min="16195" max="16195" customWidth="1" bestFit="1" width="10.0" style="5"/>
    <col min="16196" max="16196" customWidth="1" bestFit="1" width="10.0" style="5"/>
    <col min="16197" max="16197" customWidth="1" bestFit="1" width="10.0" style="5"/>
    <col min="16198" max="16198" customWidth="1" bestFit="1" width="10.0" style="5"/>
    <col min="16199" max="16199" customWidth="1" bestFit="1" width="10.0" style="5"/>
    <col min="16200" max="16200" customWidth="1" bestFit="1" width="10.0" style="5"/>
    <col min="16201" max="16201" customWidth="1" bestFit="1" width="10.0" style="5"/>
    <col min="16202" max="16202" customWidth="1" bestFit="1" width="10.0" style="5"/>
    <col min="16203" max="16203" customWidth="1" bestFit="1" width="10.0" style="5"/>
    <col min="16204" max="16204" customWidth="1" bestFit="1" width="10.0" style="5"/>
    <col min="16205" max="16205" customWidth="1" bestFit="1" width="10.0" style="5"/>
    <col min="16206" max="16206" customWidth="1" bestFit="1" width="10.0" style="5"/>
    <col min="16207" max="16207" customWidth="1" bestFit="1" width="10.0" style="5"/>
    <col min="16208" max="16208" customWidth="1" bestFit="1" width="10.0" style="5"/>
    <col min="16209" max="16209" customWidth="1" bestFit="1" width="10.0" style="5"/>
    <col min="16210" max="16210" customWidth="1" bestFit="1" width="10.0" style="5"/>
    <col min="16211" max="16211" customWidth="1" bestFit="1" width="10.0" style="5"/>
    <col min="16212" max="16212" customWidth="1" bestFit="1" width="10.0" style="5"/>
    <col min="16213" max="16213" customWidth="1" bestFit="1" width="10.0" style="5"/>
    <col min="16214" max="16214" customWidth="1" bestFit="1" width="10.0" style="5"/>
    <col min="16215" max="16215" customWidth="1" bestFit="1" width="10.0" style="5"/>
    <col min="16216" max="16216" customWidth="1" bestFit="1" width="10.0" style="5"/>
    <col min="16217" max="16217" customWidth="1" bestFit="1" width="10.0" style="5"/>
    <col min="16218" max="16218" customWidth="1" bestFit="1" width="10.0" style="5"/>
    <col min="16219" max="16219" customWidth="1" bestFit="1" width="10.0" style="5"/>
    <col min="16220" max="16220" customWidth="1" bestFit="1" width="10.0" style="5"/>
    <col min="16221" max="16221" customWidth="1" bestFit="1" width="10.0" style="5"/>
    <col min="16222" max="16222" customWidth="1" bestFit="1" width="10.0" style="5"/>
    <col min="16223" max="16223" customWidth="1" bestFit="1" width="10.0" style="5"/>
    <col min="16224" max="16224" customWidth="1" bestFit="1" width="10.0" style="5"/>
    <col min="16225" max="16225" customWidth="1" bestFit="1" width="10.0" style="5"/>
    <col min="16226" max="16226" customWidth="1" bestFit="1" width="10.0" style="5"/>
    <col min="16227" max="16227" customWidth="1" bestFit="1" width="10.0" style="5"/>
    <col min="16228" max="16228" customWidth="1" bestFit="1" width="10.0" style="5"/>
    <col min="16229" max="16229" customWidth="1" bestFit="1" width="10.0" style="5"/>
    <col min="16230" max="16230" customWidth="1" bestFit="1" width="10.0" style="5"/>
    <col min="16231" max="16231" customWidth="1" bestFit="1" width="10.0" style="5"/>
    <col min="16232" max="16232" customWidth="1" bestFit="1" width="10.0" style="5"/>
    <col min="16233" max="16233" customWidth="1" bestFit="1" width="10.0" style="5"/>
    <col min="16234" max="16234" customWidth="1" bestFit="1" width="10.0" style="5"/>
    <col min="16235" max="16235" customWidth="1" bestFit="1" width="10.0" style="5"/>
    <col min="16236" max="16236" customWidth="1" bestFit="1" width="10.0" style="5"/>
    <col min="16237" max="16237" customWidth="1" bestFit="1" width="10.0" style="5"/>
    <col min="16238" max="16238" customWidth="1" bestFit="1" width="10.0" style="5"/>
    <col min="16239" max="16239" customWidth="1" bestFit="1" width="10.0" style="5"/>
    <col min="16240" max="16240" customWidth="1" bestFit="1" width="10.0" style="5"/>
    <col min="16241" max="16241" customWidth="1" bestFit="1" width="10.0" style="5"/>
    <col min="16242" max="16242" customWidth="1" bestFit="1" width="10.0" style="5"/>
    <col min="16243" max="16243" customWidth="1" bestFit="1" width="10.0" style="5"/>
    <col min="16244" max="16244" customWidth="1" bestFit="1" width="10.0" style="5"/>
    <col min="16245" max="16245" customWidth="1" bestFit="1" width="10.0" style="5"/>
    <col min="16246" max="16246" customWidth="1" bestFit="1" width="10.0" style="5"/>
    <col min="16247" max="16247" customWidth="1" bestFit="1" width="10.0" style="5"/>
    <col min="16248" max="16248" customWidth="1" bestFit="1" width="10.0" style="5"/>
    <col min="16249" max="16249" customWidth="1" bestFit="1" width="10.0" style="5"/>
    <col min="16250" max="16250" customWidth="1" bestFit="1" width="10.0" style="5"/>
    <col min="16251" max="16251" customWidth="1" bestFit="1" width="10.0" style="5"/>
    <col min="16252" max="16252" customWidth="1" bestFit="1" width="10.0" style="5"/>
    <col min="16253" max="16253" customWidth="1" bestFit="1" width="10.0" style="5"/>
    <col min="16254" max="16254" customWidth="1" bestFit="1" width="10.0" style="5"/>
    <col min="16255" max="16255" customWidth="1" bestFit="1" width="10.0" style="5"/>
    <col min="16256" max="16256" customWidth="1" bestFit="1" width="10.0" style="5"/>
    <col min="16257" max="16257" customWidth="1" bestFit="1" width="10.0" style="5"/>
    <col min="16258" max="16258" customWidth="1" bestFit="1" width="10.0" style="5"/>
    <col min="16259" max="16259" customWidth="1" bestFit="1" width="10.0" style="5"/>
    <col min="16260" max="16260" customWidth="1" bestFit="1" width="10.0" style="5"/>
    <col min="16261" max="16261" customWidth="1" bestFit="1" width="10.0" style="5"/>
    <col min="16262" max="16262" customWidth="1" bestFit="1" width="10.0" style="5"/>
    <col min="16263" max="16263" customWidth="1" bestFit="1" width="10.0" style="5"/>
    <col min="16264" max="16264" customWidth="1" bestFit="1" width="10.0" style="5"/>
    <col min="16265" max="16265" customWidth="1" bestFit="1" width="10.0" style="5"/>
    <col min="16266" max="16266" customWidth="1" bestFit="1" width="10.0" style="5"/>
    <col min="16267" max="16267" customWidth="1" bestFit="1" width="10.0" style="5"/>
    <col min="16268" max="16268" customWidth="1" bestFit="1" width="10.0" style="5"/>
    <col min="16269" max="16269" customWidth="1" bestFit="1" width="10.0" style="5"/>
    <col min="16270" max="16270" customWidth="1" bestFit="1" width="10.0" style="5"/>
    <col min="16271" max="16271" customWidth="1" bestFit="1" width="10.0" style="5"/>
    <col min="16272" max="16272" customWidth="1" bestFit="1" width="10.0" style="5"/>
    <col min="16273" max="16273" customWidth="1" bestFit="1" width="10.0" style="5"/>
    <col min="16274" max="16274" customWidth="1" bestFit="1" width="10.0" style="5"/>
    <col min="16275" max="16275" customWidth="1" bestFit="1" width="10.0" style="5"/>
    <col min="16276" max="16276" customWidth="1" bestFit="1" width="10.0" style="5"/>
    <col min="16277" max="16277" customWidth="1" bestFit="1" width="10.0" style="5"/>
    <col min="16278" max="16278" customWidth="1" bestFit="1" width="10.0" style="5"/>
    <col min="16279" max="16279" customWidth="1" bestFit="1" width="10.0" style="5"/>
    <col min="16280" max="16280" customWidth="1" bestFit="1" width="10.0" style="5"/>
    <col min="16281" max="16281" customWidth="1" bestFit="1" width="10.0" style="5"/>
    <col min="16282" max="16282" customWidth="1" bestFit="1" width="10.0" style="5"/>
    <col min="16283" max="16283" customWidth="1" bestFit="1" width="10.0" style="5"/>
    <col min="16284" max="16284" customWidth="1" bestFit="1" width="10.0" style="5"/>
    <col min="16285" max="16285" customWidth="1" bestFit="1" width="10.0" style="5"/>
    <col min="16286" max="16286" customWidth="1" bestFit="1" width="10.0" style="5"/>
    <col min="16287" max="16287" customWidth="1" bestFit="1" width="10.0" style="5"/>
    <col min="16288" max="16288" customWidth="1" bestFit="1" width="10.0" style="5"/>
    <col min="16289" max="16289" customWidth="1" bestFit="1" width="10.0" style="5"/>
    <col min="16290" max="16290" customWidth="1" bestFit="1" width="10.0" style="5"/>
    <col min="16291" max="16291" customWidth="1" bestFit="1" width="10.0" style="5"/>
    <col min="16292" max="16292" customWidth="1" bestFit="1" width="10.0" style="5"/>
    <col min="16293" max="16293" customWidth="1" bestFit="1" width="10.0" style="5"/>
    <col min="16294" max="16294" customWidth="1" bestFit="1" width="10.0" style="5"/>
    <col min="16295" max="16295" customWidth="1" bestFit="1" width="10.0" style="5"/>
    <col min="16296" max="16296" customWidth="1" bestFit="1" width="10.0" style="5"/>
    <col min="16297" max="16297" customWidth="1" bestFit="1" width="10.0" style="5"/>
    <col min="16298" max="16298" customWidth="1" bestFit="1" width="10.0" style="5"/>
    <col min="16299" max="16299" customWidth="1" bestFit="1" width="10.0" style="5"/>
    <col min="16300" max="16300" customWidth="1" bestFit="1" width="10.0" style="5"/>
    <col min="16301" max="16301" customWidth="1" bestFit="1" width="10.0" style="5"/>
    <col min="16302" max="16302" customWidth="1" bestFit="1" width="10.0" style="5"/>
    <col min="16303" max="16303" customWidth="1" bestFit="1" width="10.0" style="5"/>
    <col min="16304" max="16304" customWidth="1" bestFit="1" width="10.0" style="5"/>
    <col min="16305" max="16305" customWidth="1" bestFit="1" width="10.0" style="5"/>
    <col min="16306" max="16306" customWidth="1" bestFit="1" width="10.0" style="5"/>
    <col min="16307" max="16307" customWidth="1" bestFit="1" width="10.0" style="5"/>
    <col min="16308" max="16308" customWidth="1" bestFit="1" width="10.0" style="5"/>
    <col min="16309" max="16309" customWidth="1" bestFit="1" width="10.0" style="5"/>
    <col min="16310" max="16310" customWidth="1" bestFit="1" width="10.0" style="5"/>
    <col min="16311" max="16311" customWidth="1" bestFit="1" width="10.0" style="5"/>
    <col min="16312" max="16312" customWidth="1" bestFit="1" width="10.0" style="5"/>
    <col min="16313" max="16313" customWidth="1" bestFit="1" width="10.0" style="5"/>
    <col min="16314" max="16314" customWidth="1" bestFit="1" width="10.0" style="5"/>
    <col min="16315" max="16315" customWidth="1" bestFit="1" width="10.0" style="5"/>
    <col min="16316" max="16316" customWidth="1" bestFit="1" width="10.0" style="5"/>
    <col min="16317" max="16317" customWidth="1" bestFit="1" width="10.0" style="5"/>
    <col min="16318" max="16318" customWidth="1" bestFit="1" width="10.0" style="5"/>
    <col min="16319" max="16319" customWidth="1" bestFit="1" width="10.0" style="5"/>
    <col min="16320" max="16320" customWidth="1" bestFit="1" width="10.0" style="5"/>
    <col min="16321" max="16321" customWidth="1" bestFit="1" width="10.0" style="5"/>
    <col min="16322" max="16322" customWidth="1" bestFit="1" width="10.0" style="5"/>
    <col min="16323" max="16323" customWidth="1" bestFit="1" width="10.0" style="5"/>
    <col min="16324" max="16324" customWidth="1" bestFit="1" width="10.0" style="5"/>
    <col min="16325" max="16325" customWidth="1" bestFit="1" width="10.0" style="5"/>
    <col min="16326" max="16326" customWidth="1" bestFit="1" width="10.0" style="5"/>
    <col min="16327" max="16327" customWidth="1" bestFit="1" width="10.0" style="5"/>
    <col min="16328" max="16328" customWidth="1" bestFit="1" width="10.0" style="5"/>
    <col min="16329" max="16329" customWidth="1" bestFit="1" width="10.0" style="5"/>
    <col min="16330" max="16330" customWidth="1" bestFit="1" width="10.0" style="5"/>
    <col min="16331" max="16331" customWidth="1" bestFit="1" width="10.0" style="5"/>
    <col min="16332" max="16332" customWidth="1" bestFit="1" width="10.0" style="5"/>
    <col min="16333" max="16333" customWidth="1" bestFit="1" width="10.0" style="5"/>
    <col min="16334" max="16334" customWidth="1" bestFit="1" width="10.0" style="5"/>
    <col min="16335" max="16335" customWidth="1" bestFit="1" width="10.0" style="5"/>
    <col min="16336" max="16336" customWidth="1" bestFit="1" width="10.0" style="5"/>
    <col min="16337" max="16337" customWidth="1" bestFit="1" width="10.0" style="5"/>
    <col min="16338" max="16338" customWidth="1" bestFit="1" width="10.0" style="5"/>
    <col min="16339" max="16339" customWidth="1" bestFit="1" width="10.0" style="5"/>
    <col min="16340" max="16340" customWidth="1" bestFit="1" width="10.0" style="5"/>
    <col min="16341" max="16341" customWidth="1" bestFit="1" width="10.0" style="5"/>
    <col min="16342" max="16342" customWidth="1" bestFit="1" width="10.0" style="5"/>
    <col min="16343" max="16343" customWidth="1" bestFit="1" width="10.0" style="5"/>
    <col min="16344" max="16344" customWidth="1" bestFit="1" width="10.0" style="5"/>
    <col min="16345" max="16345" customWidth="1" bestFit="1" width="10.0" style="5"/>
    <col min="16346" max="16346" customWidth="1" bestFit="1" width="10.0" style="5"/>
    <col min="16347" max="16347" customWidth="1" bestFit="1" width="10.0" style="5"/>
    <col min="16348" max="16348" customWidth="1" bestFit="1" width="10.0" style="5"/>
    <col min="16349" max="16349" customWidth="1" bestFit="1" width="10.0" style="5"/>
    <col min="16350" max="16350" customWidth="1" bestFit="1" width="10.0" style="5"/>
    <col min="16351" max="16351" customWidth="1" bestFit="1" width="10.0" style="5"/>
    <col min="16352" max="16352" customWidth="1" bestFit="1" width="10.0" style="5"/>
    <col min="16353" max="16353" customWidth="1" bestFit="1" width="10.0" style="5"/>
    <col min="16354" max="16354" customWidth="1" bestFit="1" width="10.0" style="5"/>
    <col min="16355" max="16355" customWidth="1" bestFit="1" width="10.0" style="5"/>
    <col min="16356" max="16356" customWidth="1" bestFit="1" width="10.0" style="5"/>
    <col min="16357" max="16357" customWidth="1" bestFit="1" width="10.0" style="5"/>
    <col min="16358" max="16358" customWidth="1" bestFit="1" width="10.0" style="5"/>
    <col min="16359" max="16359" customWidth="1" bestFit="1" width="10.0" style="5"/>
    <col min="16360" max="16360" customWidth="1" bestFit="1" width="10.0" style="5"/>
    <col min="16361" max="16361" customWidth="1" bestFit="1" width="10.0" style="5"/>
    <col min="16362" max="16362" customWidth="1" bestFit="1" width="10.0" style="5"/>
    <col min="16363" max="16363" customWidth="1" bestFit="1" width="10.0" style="5"/>
    <col min="16364" max="16364" customWidth="1" bestFit="1" width="10.0" style="5"/>
    <col min="16365" max="16365" customWidth="1" bestFit="1" width="10.0" style="5"/>
    <col min="16366" max="16366" customWidth="1" bestFit="1" width="10.0" style="5"/>
    <col min="16367" max="16367" customWidth="1" bestFit="1" width="10.0" style="5"/>
    <col min="16368" max="16368" customWidth="1" bestFit="1" width="10.0" style="5"/>
    <col min="16369" max="16369" customWidth="1" bestFit="1" width="10.0" style="5"/>
    <col min="16370" max="16370" customWidth="1" bestFit="1" width="10.0" style="5"/>
    <col min="16371" max="16371" customWidth="1" bestFit="1" width="10.0" style="5"/>
    <col min="16372" max="16372" customWidth="1" bestFit="1" width="10.0" style="5"/>
    <col min="16373" max="16373" customWidth="1" bestFit="1" width="10.0" style="5"/>
    <col min="16374" max="16374" customWidth="1" bestFit="1" width="10.0" style="5"/>
    <col min="16375" max="16375" customWidth="1" bestFit="1" width="10.0" style="5"/>
    <col min="16376" max="16376" customWidth="1" bestFit="1" width="10.0" style="5"/>
    <col min="16377" max="16377" customWidth="1" bestFit="1" width="10.0" style="5"/>
    <col min="16378" max="16378" customWidth="1" bestFit="1" width="10.0" style="5"/>
    <col min="16379" max="16379" customWidth="1" bestFit="1" width="10.0" style="5"/>
    <col min="16380" max="16380" customWidth="1" bestFit="1" width="10.0" style="5"/>
    <col min="16381" max="16381" customWidth="1" bestFit="1" width="10.0" style="5"/>
    <col min="16382" max="16382" customWidth="1" bestFit="1" width="10.0" style="5"/>
    <col min="16383" max="16383" customWidth="1" bestFit="1" width="10.0" style="5"/>
    <col min="16384" max="16384" customWidth="1" bestFit="1" width="10.0" style="5"/>
  </cols>
  <sheetData>
    <row r="1" spans="8:8">
      <c r="A1" s="6" t="s">
        <v>7</v>
      </c>
      <c r="B1" s="5" t="s">
        <v>1150</v>
      </c>
      <c r="C1" s="5" t="s">
        <v>1151</v>
      </c>
      <c r="D1" s="5" t="s">
        <v>1152</v>
      </c>
      <c r="E1" s="5" t="s">
        <v>1153</v>
      </c>
      <c r="F1" s="5" t="s">
        <v>1154</v>
      </c>
    </row>
    <row r="2" spans="8:8" ht="15.1">
      <c r="A2" s="6" t="s">
        <v>8</v>
      </c>
      <c r="B2" s="5">
        <f>_xlfn.SUMIFS(Sheet1!D:D,Sheet1!G:G,A2)</f>
        <v>0.0</v>
      </c>
      <c r="C2" s="5">
        <f>_xlfn.SUMIFS(Sheet1!E:E,Sheet1!G:G,A2)</f>
        <v>0.0</v>
      </c>
      <c r="D2" s="5" t="e">
        <f>B2-B1</f>
        <v>#VALUE!</v>
      </c>
      <c r="E2" s="5" t="e">
        <f>IF(B1=0,0,(B2-B1)/B1)</f>
        <v>#VALUE!</v>
      </c>
      <c r="F2" s="5" t="e">
        <f>IF(B2&gt;=1.5*B1,"YES","")</f>
        <v>#VALUE!</v>
      </c>
    </row>
    <row r="3" spans="8:8" ht="15.1">
      <c r="A3" s="6" t="s">
        <v>15</v>
      </c>
      <c r="B3" s="5">
        <f>_xlfn.SUMIFS(Sheet1!D:D,Sheet1!G:G,A3)</f>
        <v>0.0</v>
      </c>
      <c r="C3" s="5">
        <f>_xlfn.SUMIFS(Sheet1!E:E,Sheet1!G:G,A3)</f>
        <v>0.0</v>
      </c>
      <c r="D3" s="5">
        <f>B3-B2</f>
        <v>0.0</v>
      </c>
      <c r="E3" s="5">
        <f>IF(B2=0,0,(B3-B2)/B2)</f>
        <v>0.0</v>
      </c>
      <c r="F3" s="5" t="str">
        <f>IF(B3&gt;=1.5*B2,"YES","")</f>
        <v>YES</v>
      </c>
    </row>
    <row r="4" spans="8:8" ht="15.1">
      <c r="A4" s="6" t="s">
        <v>22</v>
      </c>
      <c r="B4" s="5">
        <f>_xlfn.SUMIFS(Sheet1!D:D,Sheet1!G:G,A4)</f>
        <v>0.0</v>
      </c>
      <c r="C4" s="5">
        <f>_xlfn.SUMIFS(Sheet1!E:E,Sheet1!G:G,A4)</f>
        <v>0.0</v>
      </c>
      <c r="D4" s="5">
        <f>B4-B3</f>
        <v>0.0</v>
      </c>
      <c r="E4" s="5">
        <f>IF(B3=0,0,(B4-B3)/B3)</f>
        <v>0.0</v>
      </c>
      <c r="F4" s="5" t="str">
        <f>IF(B4&gt;=1.5*B3,"YES","")</f>
        <v>YES</v>
      </c>
    </row>
    <row r="5" spans="8:8" ht="15.1">
      <c r="A5" s="6" t="s">
        <v>29</v>
      </c>
      <c r="B5" s="5">
        <f>_xlfn.SUMIFS(Sheet1!D:D,Sheet1!G:G,A5)</f>
        <v>0.0</v>
      </c>
      <c r="C5" s="5">
        <f>_xlfn.SUMIFS(Sheet1!E:E,Sheet1!G:G,A5)</f>
        <v>0.0</v>
      </c>
      <c r="D5" s="5">
        <f>B5-B4</f>
        <v>0.0</v>
      </c>
      <c r="E5" s="5">
        <f>IF(B4=0,0,(B5-B4)/B4)</f>
        <v>0.0</v>
      </c>
      <c r="F5" s="5" t="str">
        <f>IF(B5&gt;=1.5*B4,"YES","")</f>
        <v>YES</v>
      </c>
    </row>
    <row r="6" spans="8:8" ht="15.1">
      <c r="A6" s="6" t="s">
        <v>36</v>
      </c>
      <c r="B6" s="5">
        <f>_xlfn.SUMIFS(Sheet1!D:D,Sheet1!G:G,A6)</f>
        <v>0.0</v>
      </c>
      <c r="C6" s="5">
        <f>_xlfn.SUMIFS(Sheet1!E:E,Sheet1!G:G,A6)</f>
        <v>0.0</v>
      </c>
      <c r="D6" s="5">
        <f>B6-B5</f>
        <v>0.0</v>
      </c>
      <c r="E6" s="5">
        <f>IF(B5=0,0,(B6-B5)/B5)</f>
        <v>0.0</v>
      </c>
      <c r="F6" s="5" t="str">
        <f>IF(B6&gt;=1.5*B5,"YES","")</f>
        <v>YES</v>
      </c>
    </row>
    <row r="7" spans="8:8" ht="15.1">
      <c r="A7" s="6" t="s">
        <v>43</v>
      </c>
      <c r="B7" s="5">
        <f>_xlfn.SUMIFS(Sheet1!D:D,Sheet1!G:G,A7)</f>
        <v>0.0</v>
      </c>
      <c r="C7" s="5">
        <f>_xlfn.SUMIFS(Sheet1!E:E,Sheet1!G:G,A7)</f>
        <v>0.0</v>
      </c>
      <c r="D7" s="5">
        <f>B7-B6</f>
        <v>0.0</v>
      </c>
      <c r="E7" s="5">
        <f>IF(B6=0,0,(B7-B6)/B6)</f>
        <v>0.0</v>
      </c>
      <c r="F7" s="5" t="str">
        <f>IF(B7&gt;=1.5*B6,"YES","")</f>
        <v>YES</v>
      </c>
    </row>
    <row r="8" spans="8:8" ht="15.1">
      <c r="A8" s="6" t="s">
        <v>50</v>
      </c>
      <c r="B8" s="5">
        <f>_xlfn.SUMIFS(Sheet1!D:D,Sheet1!G:G,A8)</f>
        <v>3.0</v>
      </c>
      <c r="C8" s="5">
        <f>_xlfn.SUMIFS(Sheet1!E:E,Sheet1!G:G,A8)</f>
        <v>0.0</v>
      </c>
      <c r="D8" s="5">
        <f>B8-B7</f>
        <v>3.0</v>
      </c>
      <c r="E8" s="5">
        <f>IF(B7=0,0,(B8-B7)/B7)</f>
        <v>0.0</v>
      </c>
      <c r="F8" s="5" t="str">
        <f>IF(B8&gt;=1.5*B7,"YES","")</f>
        <v>YES</v>
      </c>
    </row>
    <row r="9" spans="8:8" ht="15.1">
      <c r="A9" s="6" t="s">
        <v>57</v>
      </c>
      <c r="B9" s="5">
        <f>_xlfn.SUMIFS(Sheet1!D:D,Sheet1!G:G,A9)</f>
        <v>11.0</v>
      </c>
      <c r="C9" s="5">
        <f>_xlfn.SUMIFS(Sheet1!E:E,Sheet1!G:G,A9)</f>
        <v>1.0</v>
      </c>
      <c r="D9" s="5">
        <f>B9-B8</f>
        <v>8.0</v>
      </c>
      <c r="E9" s="5">
        <f>IF(B8=0,0,(B9-B8)/B8)</f>
        <v>2.6666666666666665</v>
      </c>
      <c r="F9" s="5" t="str">
        <f>IF(B9&gt;=1.5*B8,"YES","")</f>
        <v>YES</v>
      </c>
    </row>
    <row r="10" spans="8:8" ht="15.1">
      <c r="A10" s="6" t="s">
        <v>64</v>
      </c>
      <c r="B10" s="5">
        <f>_xlfn.SUMIFS(Sheet1!D:D,Sheet1!G:G,A10)</f>
        <v>25.0</v>
      </c>
      <c r="C10" s="5">
        <f>_xlfn.SUMIFS(Sheet1!E:E,Sheet1!G:G,A10)</f>
        <v>4.0</v>
      </c>
      <c r="D10" s="5">
        <f>B10-B9</f>
        <v>14.0</v>
      </c>
      <c r="E10" s="5">
        <f>IF(B9=0,0,(B10-B9)/B9)</f>
        <v>1.2727272727272727</v>
      </c>
      <c r="F10" s="5" t="str">
        <f>IF(B10&gt;=1.5*B9,"YES","")</f>
        <v>YES</v>
      </c>
    </row>
    <row r="11" spans="8:8" ht="15.1">
      <c r="A11" s="6" t="s">
        <v>71</v>
      </c>
      <c r="B11" s="5">
        <f>_xlfn.SUMIFS(Sheet1!D:D,Sheet1!G:G,A11)</f>
        <v>15.0</v>
      </c>
      <c r="C11" s="5">
        <f>_xlfn.SUMIFS(Sheet1!E:E,Sheet1!G:G,A11)</f>
        <v>1.0</v>
      </c>
      <c r="D11" s="5">
        <f>B11-B10</f>
        <v>-10.0</v>
      </c>
      <c r="E11" s="5">
        <f>IF(B10=0,0,(B11-B10)/B10)</f>
        <v>-0.4</v>
      </c>
      <c r="F11" s="5" t="str">
        <f>IF(B11&gt;=1.5*B10,"YES","")</f>
        <v/>
      </c>
    </row>
    <row r="12" spans="8:8" ht="15.1">
      <c r="A12" s="6" t="s">
        <v>78</v>
      </c>
      <c r="B12" s="5">
        <f>_xlfn.SUMIFS(Sheet1!D:D,Sheet1!G:G,A12)</f>
        <v>164.0</v>
      </c>
      <c r="C12" s="5">
        <f>_xlfn.SUMIFS(Sheet1!E:E,Sheet1!G:G,A12)</f>
        <v>14.0</v>
      </c>
      <c r="D12" s="5">
        <f>B12-B11</f>
        <v>149.0</v>
      </c>
      <c r="E12" s="5">
        <f>IF(B11=0,0,(B12-B11)/B11)</f>
        <v>9.933333333333334</v>
      </c>
      <c r="F12" s="5" t="str">
        <f>IF(B12&gt;=1.5*B11,"YES","")</f>
        <v>YES</v>
      </c>
    </row>
    <row r="13" spans="8:8" ht="15.1">
      <c r="A13" s="6" t="s">
        <v>85</v>
      </c>
      <c r="B13" s="5">
        <f>_xlfn.SUMIFS(Sheet1!D:D,Sheet1!G:G,A13)</f>
        <v>1013.0</v>
      </c>
      <c r="C13" s="5">
        <f>_xlfn.SUMIFS(Sheet1!E:E,Sheet1!G:G,A13)</f>
        <v>30.0</v>
      </c>
      <c r="D13" s="5">
        <f>B13-B12</f>
        <v>849.0</v>
      </c>
      <c r="E13" s="5">
        <f>IF(B12=0,0,(B13-B12)/B12)</f>
        <v>5.176829268292683</v>
      </c>
      <c r="F13" s="5" t="str">
        <f>IF(B13&gt;=1.5*B12,"YES","")</f>
        <v>YES</v>
      </c>
    </row>
    <row r="14" spans="8:8" ht="15.1">
      <c r="A14" s="6" t="s">
        <v>92</v>
      </c>
      <c r="B14" s="5">
        <f>_xlfn.SUMIFS(Sheet1!D:D,Sheet1!G:G,A14)</f>
        <v>2541.0</v>
      </c>
      <c r="C14" s="5">
        <f>_xlfn.SUMIFS(Sheet1!E:E,Sheet1!G:G,A14)</f>
        <v>70.0</v>
      </c>
      <c r="D14" s="5">
        <f>B14-B13</f>
        <v>1528.0</v>
      </c>
      <c r="E14" s="5">
        <f>IF(B13=0,0,(B14-B13)/B13)</f>
        <v>1.508390918065153</v>
      </c>
      <c r="F14" s="5" t="str">
        <f>IF(B14&gt;=1.5*B13,"YES","")</f>
        <v>YES</v>
      </c>
    </row>
    <row r="15" spans="8:8" ht="15.1">
      <c r="A15" s="6" t="s">
        <v>99</v>
      </c>
      <c r="B15" s="5">
        <f>_xlfn.SUMIFS(Sheet1!D:D,Sheet1!G:G,A15)</f>
        <v>3331.0</v>
      </c>
      <c r="C15" s="5">
        <f>_xlfn.SUMIFS(Sheet1!E:E,Sheet1!G:G,A15)</f>
        <v>43.0</v>
      </c>
      <c r="D15" s="5">
        <f>B15-B14</f>
        <v>790.0</v>
      </c>
      <c r="E15" s="5">
        <f>IF(B14=0,0,(B15-B14)/B14)</f>
        <v>0.3109012199921291</v>
      </c>
      <c r="F15" s="5" t="str">
        <f>IF(B15&gt;=1.5*B14,"YES","")</f>
        <v/>
      </c>
    </row>
    <row r="16" spans="8:8" ht="15.1">
      <c r="A16" s="6" t="s">
        <v>106</v>
      </c>
      <c r="B16" s="5">
        <f>_xlfn.SUMIFS(Sheet1!D:D,Sheet1!G:G,A16)</f>
        <v>4616.0</v>
      </c>
      <c r="C16" s="5">
        <f>_xlfn.SUMIFS(Sheet1!E:E,Sheet1!G:G,A16)</f>
        <v>23.0</v>
      </c>
      <c r="D16" s="5">
        <f>B16-B15</f>
        <v>1285.0</v>
      </c>
      <c r="E16" s="5">
        <f>IF(B15=0,0,(B16-B15)/B15)</f>
        <v>0.3857700390273191</v>
      </c>
      <c r="F16" s="5" t="str">
        <f>IF(B16&gt;=1.5*B15,"YES","")</f>
        <v/>
      </c>
    </row>
    <row r="17" spans="8:8" ht="15.1">
      <c r="A17" s="6" t="s">
        <v>113</v>
      </c>
      <c r="B17" s="5">
        <f>_xlfn.SUMIFS(Sheet1!D:D,Sheet1!G:G,A17)</f>
        <v>6103.0</v>
      </c>
      <c r="C17" s="5">
        <f>_xlfn.SUMIFS(Sheet1!E:E,Sheet1!G:G,A17)</f>
        <v>83.0</v>
      </c>
      <c r="D17" s="5">
        <f>B17-B16</f>
        <v>1487.0</v>
      </c>
      <c r="E17" s="5">
        <f>IF(B16=0,0,(B17-B16)/B16)</f>
        <v>0.32214038128249567</v>
      </c>
      <c r="F17" s="5" t="str">
        <f>IF(B17&gt;=1.5*B16,"YES","")</f>
        <v/>
      </c>
    </row>
    <row r="18" spans="8:8" ht="15.1">
      <c r="A18" s="6" t="s">
        <v>120</v>
      </c>
      <c r="B18" s="5">
        <f>_xlfn.SUMIFS(Sheet1!D:D,Sheet1!G:G,A18)</f>
        <v>8916.0</v>
      </c>
      <c r="C18" s="5">
        <f>_xlfn.SUMIFS(Sheet1!E:E,Sheet1!G:G,A18)</f>
        <v>117.0</v>
      </c>
      <c r="D18" s="5">
        <f>B18-B17</f>
        <v>2813.0</v>
      </c>
      <c r="E18" s="5">
        <f>IF(B17=0,0,(B18-B17)/B17)</f>
        <v>0.460920858594134</v>
      </c>
      <c r="F18" s="5" t="str">
        <f>IF(B18&gt;=1.5*B17,"YES","")</f>
        <v/>
      </c>
    </row>
    <row r="19" spans="8:8" ht="15.1">
      <c r="A19" s="6" t="s">
        <v>127</v>
      </c>
      <c r="B19" s="5">
        <f>_xlfn.SUMIFS(Sheet1!D:D,Sheet1!G:G,A19)</f>
        <v>11554.0</v>
      </c>
      <c r="C19" s="5">
        <f>_xlfn.SUMIFS(Sheet1!E:E,Sheet1!G:G,A19)</f>
        <v>158.0</v>
      </c>
      <c r="D19" s="5">
        <f>B19-B18</f>
        <v>2638.0</v>
      </c>
      <c r="E19" s="5">
        <f>IF(B18=0,0,(B19-B18)/B18)</f>
        <v>0.2958725886047555</v>
      </c>
      <c r="F19" s="5" t="str">
        <f>IF(B19&gt;=1.5*B18,"YES","")</f>
        <v/>
      </c>
    </row>
    <row r="20" spans="8:8" ht="15.1">
      <c r="A20" s="6" t="s">
        <v>134</v>
      </c>
      <c r="B20" s="5">
        <f>_xlfn.SUMIFS(Sheet1!D:D,Sheet1!G:G,A20)</f>
        <v>16848.0</v>
      </c>
      <c r="C20" s="5">
        <f>_xlfn.SUMIFS(Sheet1!E:E,Sheet1!G:G,A20)</f>
        <v>202.0</v>
      </c>
      <c r="D20" s="5">
        <f>B20-B19</f>
        <v>5294.0</v>
      </c>
      <c r="E20" s="5">
        <f>IF(B19=0,0,(B20-B19)/B19)</f>
        <v>0.4581962956551843</v>
      </c>
      <c r="F20" s="5" t="str">
        <f>IF(B20&gt;=1.5*B19,"YES","")</f>
        <v/>
      </c>
    </row>
    <row r="21" spans="8:8" ht="15.1">
      <c r="A21" s="6" t="s">
        <v>141</v>
      </c>
      <c r="B21" s="5">
        <f>_xlfn.SUMIFS(Sheet1!D:D,Sheet1!G:G,A21)</f>
        <v>19725.0</v>
      </c>
      <c r="C21" s="5">
        <f>_xlfn.SUMIFS(Sheet1!E:E,Sheet1!G:G,A21)</f>
        <v>266.0</v>
      </c>
      <c r="D21" s="5">
        <f>B21-B20</f>
        <v>2877.0</v>
      </c>
      <c r="E21" s="5">
        <f>IF(B20=0,0,(B21-B20)/B20)</f>
        <v>0.17076210826210828</v>
      </c>
      <c r="F21" s="5" t="str">
        <f>IF(B21&gt;=1.5*B20,"YES","")</f>
        <v/>
      </c>
    </row>
    <row r="22" spans="8:8" ht="15.1">
      <c r="A22" s="6" t="s">
        <v>148</v>
      </c>
      <c r="B22" s="5">
        <f>_xlfn.SUMIFS(Sheet1!D:D,Sheet1!G:G,A22)</f>
        <v>23624.0</v>
      </c>
      <c r="C22" s="5">
        <f>_xlfn.SUMIFS(Sheet1!E:E,Sheet1!G:G,A22)</f>
        <v>293.0</v>
      </c>
      <c r="D22" s="5">
        <f>B22-B21</f>
        <v>3899.0</v>
      </c>
      <c r="E22" s="5">
        <f>IF(B21=0,0,(B22-B21)/B21)</f>
        <v>0.1976679340937896</v>
      </c>
      <c r="F22" s="5" t="str">
        <f>IF(B22&gt;=1.5*B21,"YES","")</f>
        <v/>
      </c>
    </row>
    <row r="23" spans="8:8" ht="15.1">
      <c r="A23" s="6" t="s">
        <v>155</v>
      </c>
      <c r="B23" s="5">
        <f>_xlfn.SUMIFS(Sheet1!D:D,Sheet1!G:G,A23)</f>
        <v>24171.0</v>
      </c>
      <c r="C23" s="5">
        <f>_xlfn.SUMIFS(Sheet1!E:E,Sheet1!G:G,A23)</f>
        <v>277.0</v>
      </c>
      <c r="D23" s="5">
        <f>B23-B22</f>
        <v>547.0</v>
      </c>
      <c r="E23" s="5">
        <f>IF(B22=0,0,(B23-B22)/B22)</f>
        <v>0.0231544192346766</v>
      </c>
      <c r="F23" s="5" t="str">
        <f>IF(B23&gt;=1.5*B22,"YES","")</f>
        <v/>
      </c>
    </row>
    <row r="24" spans="8:8" ht="15.1">
      <c r="A24" s="6" t="s">
        <v>162</v>
      </c>
      <c r="B24" s="5">
        <f>_xlfn.SUMIFS(Sheet1!D:D,Sheet1!G:G,A24)</f>
        <v>26598.0</v>
      </c>
      <c r="C24" s="5">
        <f>_xlfn.SUMIFS(Sheet1!E:E,Sheet1!G:G,A24)</f>
        <v>306.0</v>
      </c>
      <c r="D24" s="5">
        <f>B24-B23</f>
        <v>2427.0</v>
      </c>
      <c r="E24" s="5">
        <f>IF(B23=0,0,(B24-B23)/B23)</f>
        <v>0.10040958173017252</v>
      </c>
      <c r="F24" s="5" t="str">
        <f>IF(B24&gt;=1.5*B23,"YES","")</f>
        <v/>
      </c>
    </row>
    <row r="25" spans="8:8" ht="15.1">
      <c r="A25" s="6" t="s">
        <v>169</v>
      </c>
      <c r="B25" s="5">
        <f>_xlfn.SUMIFS(Sheet1!D:D,Sheet1!G:G,A25)</f>
        <v>22876.0</v>
      </c>
      <c r="C25" s="5">
        <f>_xlfn.SUMIFS(Sheet1!E:E,Sheet1!G:G,A25)</f>
        <v>309.0</v>
      </c>
      <c r="D25" s="5">
        <f>B25-B24</f>
        <v>-3722.0</v>
      </c>
      <c r="E25" s="5">
        <f>IF(B24=0,0,(B25-B24)/B24)</f>
        <v>-0.1399353334837206</v>
      </c>
      <c r="F25" s="5" t="str">
        <f>IF(B25&gt;=1.5*B24,"YES","")</f>
        <v/>
      </c>
    </row>
    <row r="26" spans="8:8" ht="15.1">
      <c r="A26" s="6" t="s">
        <v>176</v>
      </c>
      <c r="B26" s="5">
        <f>_xlfn.SUMIFS(Sheet1!D:D,Sheet1!G:G,A26)</f>
        <v>21456.0</v>
      </c>
      <c r="C26" s="5">
        <f>_xlfn.SUMIFS(Sheet1!E:E,Sheet1!G:G,A26)</f>
        <v>260.0</v>
      </c>
      <c r="D26" s="5">
        <f>B26-B25</f>
        <v>-1420.0</v>
      </c>
      <c r="E26" s="5">
        <f>IF(B25=0,0,(B26-B25)/B25)</f>
        <v>-0.062073789123972725</v>
      </c>
      <c r="F26" s="5" t="str">
        <f>IF(B26&gt;=1.5*B25,"YES","")</f>
        <v/>
      </c>
    </row>
    <row r="27" spans="8:8" ht="15.1">
      <c r="A27" s="6" t="s">
        <v>183</v>
      </c>
      <c r="B27" s="5">
        <f>_xlfn.SUMIFS(Sheet1!D:D,Sheet1!G:G,A27)</f>
        <v>19664.0</v>
      </c>
      <c r="C27" s="5">
        <f>_xlfn.SUMIFS(Sheet1!E:E,Sheet1!G:G,A27)</f>
        <v>294.0</v>
      </c>
      <c r="D27" s="5">
        <f>B27-B26</f>
        <v>-1792.0</v>
      </c>
      <c r="E27" s="5">
        <f>IF(B26=0,0,(B27-B26)/B26)</f>
        <v>-0.08351976137211037</v>
      </c>
      <c r="F27" s="5" t="str">
        <f>IF(B27&gt;=1.5*B26,"YES","")</f>
        <v/>
      </c>
    </row>
    <row r="28" spans="8:8" ht="15.1">
      <c r="A28" s="6" t="s">
        <v>190</v>
      </c>
      <c r="B28" s="5">
        <f>_xlfn.SUMIFS(Sheet1!D:D,Sheet1!G:G,A28)</f>
        <v>18940.0</v>
      </c>
      <c r="C28" s="5">
        <f>_xlfn.SUMIFS(Sheet1!E:E,Sheet1!G:G,A28)</f>
        <v>284.0</v>
      </c>
      <c r="D28" s="5">
        <f>B28-B27</f>
        <v>-724.0</v>
      </c>
      <c r="E28" s="5">
        <f>IF(B27=0,0,(B28-B27)/B27)</f>
        <v>-0.03681855166802278</v>
      </c>
      <c r="F28" s="5" t="str">
        <f>IF(B28&gt;=1.5*B27,"YES","")</f>
        <v/>
      </c>
    </row>
    <row r="29" spans="8:8" ht="15.1">
      <c r="A29" s="6" t="s">
        <v>197</v>
      </c>
      <c r="B29" s="5">
        <f>_xlfn.SUMIFS(Sheet1!D:D,Sheet1!G:G,A29)</f>
        <v>14480.0</v>
      </c>
      <c r="C29" s="5">
        <f>_xlfn.SUMIFS(Sheet1!E:E,Sheet1!G:G,A29)</f>
        <v>232.0</v>
      </c>
      <c r="D29" s="5">
        <f>B29-B28</f>
        <v>-4460.0</v>
      </c>
      <c r="E29" s="5">
        <f>IF(B28=0,0,(B29-B28)/B28)</f>
        <v>-0.235480464625132</v>
      </c>
      <c r="F29" s="5" t="str">
        <f>IF(B29&gt;=1.5*B28,"YES","")</f>
        <v/>
      </c>
    </row>
    <row r="30" spans="8:8" ht="15.1">
      <c r="A30" s="6" t="s">
        <v>204</v>
      </c>
      <c r="B30" s="5">
        <f>_xlfn.SUMIFS(Sheet1!D:D,Sheet1!G:G,A30)</f>
        <v>19824.0</v>
      </c>
      <c r="C30" s="5">
        <f>_xlfn.SUMIFS(Sheet1!E:E,Sheet1!G:G,A30)</f>
        <v>246.0</v>
      </c>
      <c r="D30" s="5">
        <f>B30-B29</f>
        <v>5344.0</v>
      </c>
      <c r="E30" s="5">
        <f>IF(B29=0,0,(B30-B29)/B29)</f>
        <v>0.36906077348066296</v>
      </c>
      <c r="F30" s="5" t="str">
        <f>IF(B30&gt;=1.5*B29,"YES","")</f>
        <v/>
      </c>
    </row>
    <row r="31" spans="8:8" ht="15.1">
      <c r="A31" s="6" t="s">
        <v>211</v>
      </c>
      <c r="B31" s="5">
        <f>_xlfn.SUMIFS(Sheet1!D:D,Sheet1!G:G,A31)</f>
        <v>18593.0</v>
      </c>
      <c r="C31" s="5">
        <f>_xlfn.SUMIFS(Sheet1!E:E,Sheet1!G:G,A31)</f>
        <v>268.0</v>
      </c>
      <c r="D31" s="5">
        <f>B31-B30</f>
        <v>-1231.0</v>
      </c>
      <c r="E31" s="5">
        <f>IF(B30=0,0,(B31-B30)/B30)</f>
        <v>-0.062096448748991125</v>
      </c>
      <c r="F31" s="5" t="str">
        <f>IF(B31&gt;=1.5*B30,"YES","")</f>
        <v/>
      </c>
    </row>
    <row r="32" spans="8:8" ht="15.1">
      <c r="A32" s="6" t="s">
        <v>218</v>
      </c>
      <c r="B32" s="5">
        <f>_xlfn.SUMIFS(Sheet1!D:D,Sheet1!G:G,A32)</f>
        <v>17056.0</v>
      </c>
      <c r="C32" s="5">
        <f>_xlfn.SUMIFS(Sheet1!E:E,Sheet1!G:G,A32)</f>
        <v>301.0</v>
      </c>
      <c r="D32" s="5">
        <f>B32-B31</f>
        <v>-1537.0</v>
      </c>
      <c r="E32" s="5">
        <f>IF(B31=0,0,(B32-B31)/B31)</f>
        <v>-0.08266551928145001</v>
      </c>
      <c r="F32" s="5" t="str">
        <f>IF(B32&gt;=1.5*B31,"YES","")</f>
        <v/>
      </c>
    </row>
    <row r="33" spans="8:8" ht="15.1">
      <c r="A33" s="6" t="s">
        <v>225</v>
      </c>
      <c r="B33" s="5">
        <f>_xlfn.SUMIFS(Sheet1!D:D,Sheet1!G:G,A33)</f>
        <v>15381.0</v>
      </c>
      <c r="C33" s="5">
        <f>_xlfn.SUMIFS(Sheet1!E:E,Sheet1!G:G,A33)</f>
        <v>269.0</v>
      </c>
      <c r="D33" s="5">
        <f>B33-B32</f>
        <v>-1675.0</v>
      </c>
      <c r="E33" s="5">
        <f>IF(B32=0,0,(B33-B32)/B32)</f>
        <v>-0.09820590994371482</v>
      </c>
      <c r="F33" s="5" t="str">
        <f>IF(B33&gt;=1.5*B32,"YES","")</f>
        <v/>
      </c>
    </row>
    <row r="34" spans="8:8" ht="15.1">
      <c r="A34" s="6" t="s">
        <v>232</v>
      </c>
      <c r="B34" s="5">
        <f>_xlfn.SUMIFS(Sheet1!D:D,Sheet1!G:G,A34)</f>
        <v>13550.0</v>
      </c>
      <c r="C34" s="5">
        <f>_xlfn.SUMIFS(Sheet1!E:E,Sheet1!G:G,A34)</f>
        <v>242.0</v>
      </c>
      <c r="D34" s="5">
        <f>B34-B33</f>
        <v>-1831.0</v>
      </c>
      <c r="E34" s="5">
        <f>IF(B33=0,0,(B34-B33)/B33)</f>
        <v>-0.1190429750991483</v>
      </c>
      <c r="F34" s="5" t="str">
        <f>IF(B34&gt;=1.5*B33,"YES","")</f>
        <v/>
      </c>
    </row>
    <row r="35" spans="8:8" ht="15.1">
      <c r="A35" s="6" t="s">
        <v>239</v>
      </c>
      <c r="B35" s="5">
        <f>_xlfn.SUMIFS(Sheet1!D:D,Sheet1!G:G,A35)</f>
        <v>11593.0</v>
      </c>
      <c r="C35" s="5">
        <f>_xlfn.SUMIFS(Sheet1!E:E,Sheet1!G:G,A35)</f>
        <v>230.0</v>
      </c>
      <c r="D35" s="5">
        <f>B35-B34</f>
        <v>-1957.0</v>
      </c>
      <c r="E35" s="5">
        <f>IF(B34=0,0,(B35-B34)/B34)</f>
        <v>-0.1444280442804428</v>
      </c>
      <c r="F35" s="5" t="str">
        <f>IF(B35&gt;=1.5*B34,"YES","")</f>
        <v/>
      </c>
    </row>
    <row r="36" spans="8:8" ht="15.1">
      <c r="A36" s="6" t="s">
        <v>246</v>
      </c>
      <c r="B36" s="5">
        <f>_xlfn.SUMIFS(Sheet1!D:D,Sheet1!G:G,A36)</f>
        <v>11173.0</v>
      </c>
      <c r="C36" s="5">
        <f>_xlfn.SUMIFS(Sheet1!E:E,Sheet1!G:G,A36)</f>
        <v>221.0</v>
      </c>
      <c r="D36" s="5">
        <f>B36-B35</f>
        <v>-420.0</v>
      </c>
      <c r="E36" s="5">
        <f>IF(B35=0,0,(B36-B35)/B35)</f>
        <v>-0.03622875873371862</v>
      </c>
      <c r="F36" s="5" t="str">
        <f>IF(B36&gt;=1.5*B35,"YES","")</f>
        <v/>
      </c>
    </row>
    <row r="37" spans="8:8" ht="15.1">
      <c r="A37" s="6" t="s">
        <v>253</v>
      </c>
      <c r="B37" s="5">
        <f>_xlfn.SUMIFS(Sheet1!D:D,Sheet1!G:G,A37)</f>
        <v>9635.0</v>
      </c>
      <c r="C37" s="5">
        <f>_xlfn.SUMIFS(Sheet1!E:E,Sheet1!G:G,A37)</f>
        <v>207.0</v>
      </c>
      <c r="D37" s="5">
        <f>B37-B36</f>
        <v>-1538.0</v>
      </c>
      <c r="E37" s="5">
        <f>IF(B36=0,0,(B37-B36)/B36)</f>
        <v>-0.1376532712789761</v>
      </c>
      <c r="F37" s="5" t="str">
        <f>IF(B37&gt;=1.5*B36,"YES","")</f>
        <v/>
      </c>
    </row>
    <row r="38" spans="8:8" ht="15.1">
      <c r="A38" s="6" t="s">
        <v>260</v>
      </c>
      <c r="B38" s="5">
        <f>_xlfn.SUMIFS(Sheet1!D:D,Sheet1!G:G,A38)</f>
        <v>9672.0</v>
      </c>
      <c r="C38" s="5">
        <f>_xlfn.SUMIFS(Sheet1!E:E,Sheet1!G:G,A38)</f>
        <v>189.0</v>
      </c>
      <c r="D38" s="5">
        <f>B38-B37</f>
        <v>37.0</v>
      </c>
      <c r="E38" s="5">
        <f>IF(B37=0,0,(B38-B37)/B37)</f>
        <v>0.0038401660612350803</v>
      </c>
      <c r="F38" s="5" t="str">
        <f>IF(B38&gt;=1.5*B37,"YES","")</f>
        <v/>
      </c>
    </row>
    <row r="39" spans="8:8" ht="15.1">
      <c r="A39" s="6" t="s">
        <v>267</v>
      </c>
      <c r="B39" s="5">
        <f>_xlfn.SUMIFS(Sheet1!D:D,Sheet1!G:G,A39)</f>
        <v>9808.0</v>
      </c>
      <c r="C39" s="5">
        <f>_xlfn.SUMIFS(Sheet1!E:E,Sheet1!G:G,A39)</f>
        <v>153.0</v>
      </c>
      <c r="D39" s="5">
        <f>B39-B38</f>
        <v>136.0</v>
      </c>
      <c r="E39" s="5">
        <f>IF(B38=0,0,(B39-B38)/B38)</f>
        <v>0.014061207609594707</v>
      </c>
      <c r="F39" s="5" t="str">
        <f>IF(B39&gt;=1.5*B38,"YES","")</f>
        <v/>
      </c>
    </row>
    <row r="40" spans="8:8" ht="15.1">
      <c r="A40" s="6" t="s">
        <v>274</v>
      </c>
      <c r="B40" s="5">
        <f>_xlfn.SUMIFS(Sheet1!D:D,Sheet1!G:G,A40)</f>
        <v>10172.0</v>
      </c>
      <c r="C40" s="5">
        <f>_xlfn.SUMIFS(Sheet1!E:E,Sheet1!G:G,A40)</f>
        <v>130.0</v>
      </c>
      <c r="D40" s="5">
        <f>B40-B39</f>
        <v>364.0</v>
      </c>
      <c r="E40" s="5">
        <f>IF(B39=0,0,(B40-B39)/B39)</f>
        <v>0.03711256117455139</v>
      </c>
      <c r="F40" s="5" t="str">
        <f>IF(B40&gt;=1.5*B39,"YES","")</f>
        <v/>
      </c>
    </row>
    <row r="41" spans="8:8" ht="15.1">
      <c r="A41" s="6" t="s">
        <v>281</v>
      </c>
      <c r="B41" s="5">
        <f>_xlfn.SUMIFS(Sheet1!D:D,Sheet1!G:G,A41)</f>
        <v>9948.0</v>
      </c>
      <c r="C41" s="5">
        <f>_xlfn.SUMIFS(Sheet1!E:E,Sheet1!G:G,A41)</f>
        <v>138.0</v>
      </c>
      <c r="D41" s="5">
        <f>B41-B40</f>
        <v>-224.0</v>
      </c>
      <c r="E41" s="5">
        <f>IF(B40=0,0,(B41-B40)/B40)</f>
        <v>-0.02202123476209202</v>
      </c>
      <c r="F41" s="5" t="str">
        <f>IF(B41&gt;=1.5*B40,"YES","")</f>
        <v/>
      </c>
    </row>
    <row r="42" spans="8:8" ht="15.1">
      <c r="A42" s="6" t="s">
        <v>288</v>
      </c>
      <c r="B42" s="5">
        <f>_xlfn.SUMIFS(Sheet1!D:D,Sheet1!G:G,A42)</f>
        <v>11085.0</v>
      </c>
      <c r="C42" s="5">
        <f>_xlfn.SUMIFS(Sheet1!E:E,Sheet1!G:G,A42)</f>
        <v>143.0</v>
      </c>
      <c r="D42" s="5">
        <f>B42-B41</f>
        <v>1137.0</v>
      </c>
      <c r="E42" s="5">
        <f>IF(B41=0,0,(B42-B41)/B41)</f>
        <v>0.11429433051869722</v>
      </c>
      <c r="F42" s="5" t="str">
        <f>IF(B42&gt;=1.5*B41,"YES","")</f>
        <v/>
      </c>
    </row>
    <row r="43" spans="8:8" ht="15.1">
      <c r="A43" s="6" t="s">
        <v>295</v>
      </c>
      <c r="B43" s="5">
        <f>_xlfn.SUMIFS(Sheet1!D:D,Sheet1!G:G,A43)</f>
        <v>11189.0</v>
      </c>
      <c r="C43" s="5">
        <f>_xlfn.SUMIFS(Sheet1!E:E,Sheet1!G:G,A43)</f>
        <v>123.0</v>
      </c>
      <c r="D43" s="5">
        <f>B43-B42</f>
        <v>104.0</v>
      </c>
      <c r="E43" s="5">
        <f>IF(B42=0,0,(B43-B42)/B42)</f>
        <v>0.009382047812359044</v>
      </c>
      <c r="F43" s="5" t="str">
        <f>IF(B43&gt;=1.5*B42,"YES","")</f>
        <v/>
      </c>
    </row>
    <row r="44" spans="8:8" ht="15.1">
      <c r="A44" s="6" t="s">
        <v>302</v>
      </c>
      <c r="B44" s="5">
        <f>_xlfn.SUMIFS(Sheet1!D:D,Sheet1!G:G,A44)</f>
        <v>13442.0</v>
      </c>
      <c r="C44" s="5">
        <f>_xlfn.SUMIFS(Sheet1!E:E,Sheet1!G:G,A44)</f>
        <v>148.0</v>
      </c>
      <c r="D44" s="5">
        <f>B44-B43</f>
        <v>2253.0</v>
      </c>
      <c r="E44" s="5">
        <f>IF(B43=0,0,(B44-B43)/B43)</f>
        <v>0.20135847707569934</v>
      </c>
      <c r="F44" s="5" t="str">
        <f>IF(B44&gt;=1.5*B43,"YES","")</f>
        <v/>
      </c>
    </row>
    <row r="45" spans="8:8" ht="15.1">
      <c r="A45" s="6" t="s">
        <v>309</v>
      </c>
      <c r="B45" s="5">
        <f>_xlfn.SUMIFS(Sheet1!D:D,Sheet1!G:G,A45)</f>
        <v>15351.0</v>
      </c>
      <c r="C45" s="5">
        <f>_xlfn.SUMIFS(Sheet1!E:E,Sheet1!G:G,A45)</f>
        <v>212.0</v>
      </c>
      <c r="D45" s="5">
        <f>B45-B44</f>
        <v>1909.0</v>
      </c>
      <c r="E45" s="5">
        <f>IF(B44=0,0,(B45-B44)/B44)</f>
        <v>0.14201755691117393</v>
      </c>
      <c r="F45" s="5" t="str">
        <f>IF(B45&gt;=1.5*B44,"YES","")</f>
        <v/>
      </c>
    </row>
    <row r="46" spans="8:8" ht="15.1">
      <c r="A46" s="6" t="s">
        <v>316</v>
      </c>
      <c r="B46" s="5">
        <f>_xlfn.SUMIFS(Sheet1!D:D,Sheet1!G:G,A46)</f>
        <v>15277.0</v>
      </c>
      <c r="C46" s="5">
        <f>_xlfn.SUMIFS(Sheet1!E:E,Sheet1!G:G,A46)</f>
        <v>226.0</v>
      </c>
      <c r="D46" s="5">
        <f>B46-B45</f>
        <v>-74.0</v>
      </c>
      <c r="E46" s="5">
        <f>IF(B45=0,0,(B46-B45)/B45)</f>
        <v>-0.004820532864308514</v>
      </c>
      <c r="F46" s="5" t="str">
        <f>IF(B46&gt;=1.5*B45,"YES","")</f>
        <v/>
      </c>
    </row>
    <row r="47" spans="8:8" ht="15.1">
      <c r="A47" s="6" t="s">
        <v>323</v>
      </c>
      <c r="B47" s="5">
        <f>_xlfn.SUMIFS(Sheet1!D:D,Sheet1!G:G,A47)</f>
        <v>14681.0</v>
      </c>
      <c r="C47" s="5">
        <f>_xlfn.SUMIFS(Sheet1!E:E,Sheet1!G:G,A47)</f>
        <v>217.0</v>
      </c>
      <c r="D47" s="5">
        <f>B47-B46</f>
        <v>-596.0</v>
      </c>
      <c r="E47" s="5">
        <f>IF(B46=0,0,(B47-B46)/B46)</f>
        <v>-0.039012895201937556</v>
      </c>
      <c r="F47" s="5" t="str">
        <f>IF(B47&gt;=1.5*B46,"YES","")</f>
        <v/>
      </c>
    </row>
    <row r="48" spans="8:8" ht="15.1">
      <c r="A48" s="6" t="s">
        <v>330</v>
      </c>
      <c r="B48" s="5">
        <f>_xlfn.SUMIFS(Sheet1!D:D,Sheet1!G:G,A48)</f>
        <v>11737.0</v>
      </c>
      <c r="C48" s="5">
        <f>_xlfn.SUMIFS(Sheet1!E:E,Sheet1!G:G,A48)</f>
        <v>226.0</v>
      </c>
      <c r="D48" s="5">
        <f>B48-B47</f>
        <v>-2944.0</v>
      </c>
      <c r="E48" s="5">
        <f>IF(B47=0,0,(B48-B47)/B47)</f>
        <v>-0.20053129895783667</v>
      </c>
      <c r="F48" s="5" t="str">
        <f>IF(B48&gt;=1.5*B47,"YES","")</f>
        <v/>
      </c>
    </row>
    <row r="49" spans="8:8" ht="15.1">
      <c r="A49" s="6" t="s">
        <v>337</v>
      </c>
      <c r="B49" s="5">
        <f>_xlfn.SUMIFS(Sheet1!D:D,Sheet1!G:G,A49)</f>
        <v>9027.0</v>
      </c>
      <c r="C49" s="5">
        <f>_xlfn.SUMIFS(Sheet1!E:E,Sheet1!G:G,A49)</f>
        <v>203.0</v>
      </c>
      <c r="D49" s="5">
        <f>B49-B48</f>
        <v>-2710.0</v>
      </c>
      <c r="E49" s="5">
        <f>IF(B48=0,0,(B49-B48)/B48)</f>
        <v>-0.23089375479253643</v>
      </c>
      <c r="F49" s="5" t="str">
        <f>IF(B49&gt;=1.5*B48,"YES","")</f>
        <v/>
      </c>
    </row>
    <row r="50" spans="8:8" ht="15.1">
      <c r="A50" s="6" t="s">
        <v>344</v>
      </c>
      <c r="B50" s="5">
        <f>_xlfn.SUMIFS(Sheet1!D:D,Sheet1!G:G,A50)</f>
        <v>7628.0</v>
      </c>
      <c r="C50" s="5">
        <f>_xlfn.SUMIFS(Sheet1!E:E,Sheet1!G:G,A50)</f>
        <v>172.0</v>
      </c>
      <c r="D50" s="5">
        <f>B50-B49</f>
        <v>-1399.0</v>
      </c>
      <c r="E50" s="5">
        <f>IF(B49=0,0,(B50-B49)/B49)</f>
        <v>-0.15497950592666446</v>
      </c>
      <c r="F50" s="5" t="str">
        <f>IF(B50&gt;=1.5*B49,"YES","")</f>
        <v/>
      </c>
    </row>
    <row r="51" spans="8:8" ht="15.1">
      <c r="A51" s="6" t="s">
        <v>351</v>
      </c>
      <c r="B51" s="5">
        <f>_xlfn.SUMIFS(Sheet1!D:D,Sheet1!G:G,A51)</f>
        <v>6402.0</v>
      </c>
      <c r="C51" s="5">
        <f>_xlfn.SUMIFS(Sheet1!E:E,Sheet1!G:G,A51)</f>
        <v>156.0</v>
      </c>
      <c r="D51" s="5">
        <f>B51-B50</f>
        <v>-1226.0</v>
      </c>
      <c r="E51" s="5">
        <f>IF(B50=0,0,(B51-B50)/B50)</f>
        <v>-0.1607236497115889</v>
      </c>
      <c r="F51" s="5" t="str">
        <f>IF(B51&gt;=1.5*B50,"YES","")</f>
        <v/>
      </c>
    </row>
    <row r="52" spans="8:8" ht="15.1">
      <c r="A52" s="6" t="s">
        <v>358</v>
      </c>
      <c r="B52" s="5">
        <f>_xlfn.SUMIFS(Sheet1!D:D,Sheet1!G:G,A52)</f>
        <v>6012.0</v>
      </c>
      <c r="C52" s="5">
        <f>_xlfn.SUMIFS(Sheet1!E:E,Sheet1!G:G,A52)</f>
        <v>146.0</v>
      </c>
      <c r="D52" s="5">
        <f>B52-B51</f>
        <v>-390.0</v>
      </c>
      <c r="E52" s="5">
        <f>IF(B51=0,0,(B52-B51)/B51)</f>
        <v>-0.06091846298031865</v>
      </c>
      <c r="F52" s="5" t="str">
        <f>IF(B52&gt;=1.5*B51,"YES","")</f>
        <v/>
      </c>
    </row>
    <row r="53" spans="8:8" ht="15.1">
      <c r="A53" s="6" t="s">
        <v>365</v>
      </c>
      <c r="B53" s="5">
        <f>_xlfn.SUMIFS(Sheet1!D:D,Sheet1!G:G,A53)</f>
        <v>4777.0</v>
      </c>
      <c r="C53" s="5">
        <f>_xlfn.SUMIFS(Sheet1!E:E,Sheet1!G:G,A53)</f>
        <v>117.0</v>
      </c>
      <c r="D53" s="5">
        <f>B53-B52</f>
        <v>-1235.0</v>
      </c>
      <c r="E53" s="5">
        <f>IF(B52=0,0,(B53-B52)/B52)</f>
        <v>-0.20542248835662008</v>
      </c>
      <c r="F53" s="5" t="str">
        <f>IF(B53&gt;=1.5*B52,"YES","")</f>
        <v/>
      </c>
    </row>
    <row r="54" spans="8:8" ht="15.1">
      <c r="A54" s="6" t="s">
        <v>372</v>
      </c>
      <c r="B54" s="5">
        <f>_xlfn.SUMIFS(Sheet1!D:D,Sheet1!G:G,A54)</f>
        <v>3757.0</v>
      </c>
      <c r="C54" s="5">
        <f>_xlfn.SUMIFS(Sheet1!E:E,Sheet1!G:G,A54)</f>
        <v>122.0</v>
      </c>
      <c r="D54" s="5">
        <f>B54-B53</f>
        <v>-1020.0</v>
      </c>
      <c r="E54" s="5">
        <f>IF(B53=0,0,(B54-B53)/B53)</f>
        <v>-0.21352313167259787</v>
      </c>
      <c r="F54" s="5" t="str">
        <f>IF(B54&gt;=1.5*B53,"YES","")</f>
        <v/>
      </c>
    </row>
    <row r="55" spans="8:8" ht="15.1">
      <c r="A55" s="6" t="s">
        <v>379</v>
      </c>
      <c r="B55" s="5">
        <f>_xlfn.SUMIFS(Sheet1!D:D,Sheet1!G:G,A55)</f>
        <v>3101.0</v>
      </c>
      <c r="C55" s="5">
        <f>_xlfn.SUMIFS(Sheet1!E:E,Sheet1!G:G,A55)</f>
        <v>90.0</v>
      </c>
      <c r="D55" s="5">
        <f>B55-B54</f>
        <v>-656.0</v>
      </c>
      <c r="E55" s="5">
        <f>IF(B54=0,0,(B55-B54)/B54)</f>
        <v>-0.17460739952089432</v>
      </c>
      <c r="F55" s="5" t="str">
        <f>IF(B55&gt;=1.5*B54,"YES","")</f>
        <v/>
      </c>
    </row>
    <row r="56" spans="8:8" ht="15.1">
      <c r="A56" s="6" t="s">
        <v>386</v>
      </c>
      <c r="B56" s="5">
        <f>_xlfn.SUMIFS(Sheet1!D:D,Sheet1!G:G,A56)</f>
        <v>2608.0</v>
      </c>
      <c r="C56" s="5">
        <f>_xlfn.SUMIFS(Sheet1!E:E,Sheet1!G:G,A56)</f>
        <v>77.0</v>
      </c>
      <c r="D56" s="5">
        <f>B56-B55</f>
        <v>-493.0</v>
      </c>
      <c r="E56" s="5">
        <f>IF(B55=0,0,(B56-B55)/B55)</f>
        <v>-0.15898097387939375</v>
      </c>
      <c r="F56" s="5" t="str">
        <f>IF(B56&gt;=1.5*B55,"YES","")</f>
        <v/>
      </c>
    </row>
    <row r="57" spans="8:8" ht="15.1">
      <c r="A57" s="6" t="s">
        <v>393</v>
      </c>
      <c r="B57" s="5">
        <f>_xlfn.SUMIFS(Sheet1!D:D,Sheet1!G:G,A57)</f>
        <v>2724.0</v>
      </c>
      <c r="C57" s="5">
        <f>_xlfn.SUMIFS(Sheet1!E:E,Sheet1!G:G,A57)</f>
        <v>75.0</v>
      </c>
      <c r="D57" s="5">
        <f>B57-B56</f>
        <v>116.0</v>
      </c>
      <c r="E57" s="5">
        <f>IF(B56=0,0,(B57-B56)/B56)</f>
        <v>0.04447852760736196</v>
      </c>
      <c r="F57" s="5" t="str">
        <f>IF(B57&gt;=1.5*B56,"YES","")</f>
        <v/>
      </c>
    </row>
    <row r="58" spans="8:8" ht="15.1">
      <c r="A58" s="6" t="s">
        <v>400</v>
      </c>
      <c r="B58" s="5">
        <f>_xlfn.SUMIFS(Sheet1!D:D,Sheet1!G:G,A58)</f>
        <v>2667.0</v>
      </c>
      <c r="C58" s="5">
        <f>_xlfn.SUMIFS(Sheet1!E:E,Sheet1!G:G,A58)</f>
        <v>65.0</v>
      </c>
      <c r="D58" s="5">
        <f>B58-B57</f>
        <v>-57.0</v>
      </c>
      <c r="E58" s="5">
        <f>IF(B57=0,0,(B58-B57)/B57)</f>
        <v>-0.02092511013215859</v>
      </c>
      <c r="F58" s="5" t="str">
        <f>IF(B58&gt;=1.5*B57,"YES","")</f>
        <v/>
      </c>
    </row>
    <row r="59" spans="8:8" ht="15.1">
      <c r="A59" s="6" t="s">
        <v>407</v>
      </c>
      <c r="B59" s="5">
        <f>_xlfn.SUMIFS(Sheet1!D:D,Sheet1!G:G,A59)</f>
        <v>3386.0</v>
      </c>
      <c r="C59" s="5">
        <f>_xlfn.SUMIFS(Sheet1!E:E,Sheet1!G:G,A59)</f>
        <v>49.0</v>
      </c>
      <c r="D59" s="5">
        <f>B59-B58</f>
        <v>719.0</v>
      </c>
      <c r="E59" s="5">
        <f>IF(B58=0,0,(B59-B58)/B58)</f>
        <v>0.26959130108736407</v>
      </c>
      <c r="F59" s="5" t="str">
        <f>IF(B59&gt;=1.5*B58,"YES","")</f>
        <v/>
      </c>
    </row>
    <row r="60" spans="8:8" ht="15.1">
      <c r="A60" s="6" t="s">
        <v>414</v>
      </c>
      <c r="B60" s="5">
        <f>_xlfn.SUMIFS(Sheet1!D:D,Sheet1!G:G,A60)</f>
        <v>5175.0</v>
      </c>
      <c r="C60" s="5">
        <f>_xlfn.SUMIFS(Sheet1!E:E,Sheet1!G:G,A60)</f>
        <v>68.0</v>
      </c>
      <c r="D60" s="5">
        <f>B60-B59</f>
        <v>1789.0</v>
      </c>
      <c r="E60" s="5">
        <f>IF(B59=0,0,(B60-B59)/B59)</f>
        <v>0.5283520378027171</v>
      </c>
      <c r="F60" s="5" t="str">
        <f>IF(B60&gt;=1.5*B59,"YES","")</f>
        <v>YES</v>
      </c>
    </row>
    <row r="61" spans="8:8" ht="15.1">
      <c r="A61" s="6" t="s">
        <v>421</v>
      </c>
      <c r="B61" s="5">
        <f>_xlfn.SUMIFS(Sheet1!D:D,Sheet1!G:G,A61)</f>
        <v>9647.0</v>
      </c>
      <c r="C61" s="5">
        <f>_xlfn.SUMIFS(Sheet1!E:E,Sheet1!G:G,A61)</f>
        <v>112.0</v>
      </c>
      <c r="D61" s="5">
        <f>B61-B60</f>
        <v>4472.0</v>
      </c>
      <c r="E61" s="5">
        <f>IF(B60=0,0,(B61-B60)/B60)</f>
        <v>0.8641545893719806</v>
      </c>
      <c r="F61" s="5" t="str">
        <f>IF(B61&gt;=1.5*B60,"YES","")</f>
        <v>YES</v>
      </c>
    </row>
    <row r="62" spans="8:8" ht="15.1">
      <c r="A62" s="6" t="s">
        <v>428</v>
      </c>
      <c r="B62" s="5">
        <f>_xlfn.SUMIFS(Sheet1!D:D,Sheet1!G:G,A62)</f>
        <v>18056.0</v>
      </c>
      <c r="C62" s="5">
        <f>_xlfn.SUMIFS(Sheet1!E:E,Sheet1!G:G,A62)</f>
        <v>155.0</v>
      </c>
      <c r="D62" s="5">
        <f>B62-B61</f>
        <v>8409.0</v>
      </c>
      <c r="E62" s="5">
        <f>IF(B61=0,0,(B62-B61)/B61)</f>
        <v>0.8716699492070074</v>
      </c>
      <c r="F62" s="5" t="str">
        <f>IF(B62&gt;=1.5*B61,"YES","")</f>
        <v>YES</v>
      </c>
    </row>
    <row r="63" spans="8:8" ht="15.1">
      <c r="A63" s="6" t="s">
        <v>435</v>
      </c>
      <c r="B63" s="5">
        <f>_xlfn.SUMIFS(Sheet1!D:D,Sheet1!G:G,A63)</f>
        <v>30487.0</v>
      </c>
      <c r="C63" s="5">
        <f>_xlfn.SUMIFS(Sheet1!E:E,Sheet1!G:G,A63)</f>
        <v>283.0</v>
      </c>
      <c r="D63" s="5">
        <f>B63-B62</f>
        <v>12431.0</v>
      </c>
      <c r="E63" s="5">
        <f>IF(B62=0,0,(B63-B62)/B62)</f>
        <v>0.6884692069118299</v>
      </c>
      <c r="F63" s="5" t="str">
        <f>IF(B63&gt;=1.5*B62,"YES","")</f>
        <v>YES</v>
      </c>
    </row>
    <row r="64" spans="8:8" ht="15.1">
      <c r="A64" s="6" t="s">
        <v>442</v>
      </c>
      <c r="B64" s="5">
        <f>_xlfn.SUMIFS(Sheet1!D:D,Sheet1!G:G,A64)</f>
        <v>47983.0</v>
      </c>
      <c r="C64" s="5">
        <f>_xlfn.SUMIFS(Sheet1!E:E,Sheet1!G:G,A64)</f>
        <v>401.0</v>
      </c>
      <c r="D64" s="5">
        <f>B64-B63</f>
        <v>17496.0</v>
      </c>
      <c r="E64" s="5">
        <f>IF(B63=0,0,(B64-B63)/B63)</f>
        <v>0.5738839505362942</v>
      </c>
      <c r="F64" s="5" t="str">
        <f>IF(B64&gt;=1.5*B63,"YES","")</f>
        <v>YES</v>
      </c>
    </row>
    <row r="65" spans="8:8" ht="15.1">
      <c r="A65" s="6" t="s">
        <v>449</v>
      </c>
      <c r="B65" s="5">
        <f>_xlfn.SUMIFS(Sheet1!D:D,Sheet1!G:G,A65)</f>
        <v>43892.0</v>
      </c>
      <c r="C65" s="5">
        <f>_xlfn.SUMIFS(Sheet1!E:E,Sheet1!G:G,A65)</f>
        <v>540.0</v>
      </c>
      <c r="D65" s="5">
        <f>B65-B64</f>
        <v>-4091.0</v>
      </c>
      <c r="E65" s="5">
        <f>IF(B64=0,0,(B65-B64)/B64)</f>
        <v>-0.08525936269095305</v>
      </c>
      <c r="F65" s="5" t="str">
        <f>IF(B65&gt;=1.5*B64,"YES","")</f>
        <v/>
      </c>
    </row>
    <row r="66" spans="8:8" ht="15.1">
      <c r="A66" s="6" t="s">
        <v>456</v>
      </c>
      <c r="B66" s="5">
        <f>_xlfn.SUMIFS(Sheet1!D:D,Sheet1!G:G,A66)</f>
        <v>28890.0</v>
      </c>
      <c r="C66" s="5">
        <f>_xlfn.SUMIFS(Sheet1!E:E,Sheet1!G:G,A66)</f>
        <v>696.0</v>
      </c>
      <c r="D66" s="5">
        <f>B66-B65</f>
        <v>-15002.0</v>
      </c>
      <c r="E66" s="5">
        <f>IF(B65=0,0,(B66-B65)/B65)</f>
        <v>-0.3417934931194751</v>
      </c>
      <c r="F66" s="5" t="str">
        <f>IF(B66&gt;=1.5*B65,"YES","")</f>
        <v/>
      </c>
    </row>
    <row r="67" spans="8:8" ht="15.1">
      <c r="A67" s="6" t="s">
        <v>463</v>
      </c>
      <c r="B67" s="5">
        <f>_xlfn.SUMIFS(Sheet1!D:D,Sheet1!G:G,A67)</f>
        <v>22554.0</v>
      </c>
      <c r="C67" s="5">
        <f>_xlfn.SUMIFS(Sheet1!E:E,Sheet1!G:G,A67)</f>
        <v>622.0</v>
      </c>
      <c r="D67" s="5">
        <f>B67-B66</f>
        <v>-6336.0</v>
      </c>
      <c r="E67" s="5">
        <f>IF(B66=0,0,(B67-B66)/B66)</f>
        <v>-0.2193146417445483</v>
      </c>
      <c r="F67" s="5" t="str">
        <f>IF(B67&gt;=1.5*B66,"YES","")</f>
        <v/>
      </c>
    </row>
    <row r="68" spans="8:8" ht="15.1">
      <c r="A68" s="6" t="s">
        <v>470</v>
      </c>
      <c r="B68" s="5">
        <f>_xlfn.SUMIFS(Sheet1!D:D,Sheet1!G:G,A68)</f>
        <v>12724.0</v>
      </c>
      <c r="C68" s="5">
        <f>_xlfn.SUMIFS(Sheet1!E:E,Sheet1!G:G,A68)</f>
        <v>450.0</v>
      </c>
      <c r="D68" s="5">
        <f>B68-B67</f>
        <v>-9830.0</v>
      </c>
      <c r="E68" s="5">
        <f>IF(B67=0,0,(B68-B67)/B67)</f>
        <v>-0.4358428660104638</v>
      </c>
      <c r="F68" s="5" t="str">
        <f>IF(B68&gt;=1.5*B67,"YES","")</f>
        <v/>
      </c>
    </row>
    <row r="69" spans="8:8" ht="15.1">
      <c r="A69" s="6" t="s">
        <v>477</v>
      </c>
      <c r="B69" s="5">
        <f>_xlfn.SUMIFS(Sheet1!D:D,Sheet1!G:G,A69)</f>
        <v>10059.0</v>
      </c>
      <c r="C69" s="5">
        <f>_xlfn.SUMIFS(Sheet1!E:E,Sheet1!G:G,A69)</f>
        <v>290.0</v>
      </c>
      <c r="D69" s="5">
        <f>B69-B68</f>
        <v>-2665.0</v>
      </c>
      <c r="E69" s="5">
        <f>IF(B68=0,0,(B69-B68)/B68)</f>
        <v>-0.2094467148695379</v>
      </c>
      <c r="F69" s="5" t="str">
        <f>IF(B69&gt;=1.5*B68,"YES","")</f>
        <v/>
      </c>
    </row>
    <row r="70" spans="8:8" ht="15.1">
      <c r="A70" s="6" t="s">
        <v>484</v>
      </c>
      <c r="B70" s="5">
        <f>_xlfn.SUMIFS(Sheet1!D:D,Sheet1!G:G,A70)</f>
        <v>6340.0</v>
      </c>
      <c r="C70" s="5">
        <f>_xlfn.SUMIFS(Sheet1!E:E,Sheet1!G:G,A70)</f>
        <v>203.0</v>
      </c>
      <c r="D70" s="5">
        <f>B70-B69</f>
        <v>-3719.0</v>
      </c>
      <c r="E70" s="5">
        <f>IF(B69=0,0,(B70-B69)/B69)</f>
        <v>-0.36971865990655134</v>
      </c>
      <c r="F70" s="5" t="str">
        <f>IF(B70&gt;=1.5*B69,"YES","")</f>
        <v/>
      </c>
    </row>
    <row r="71" spans="8:8" ht="15.1">
      <c r="A71" s="6" t="s">
        <v>491</v>
      </c>
      <c r="B71" s="5">
        <f>_xlfn.SUMIFS(Sheet1!D:D,Sheet1!G:G,A71)</f>
        <v>9956.0</v>
      </c>
      <c r="C71" s="5">
        <f>_xlfn.SUMIFS(Sheet1!E:E,Sheet1!G:G,A71)</f>
        <v>210.0</v>
      </c>
      <c r="D71" s="5">
        <f>B71-B70</f>
        <v>3616.0</v>
      </c>
      <c r="E71" s="5">
        <f>IF(B70=0,0,(B71-B70)/B70)</f>
        <v>0.5703470031545741</v>
      </c>
      <c r="F71" s="5" t="str">
        <f>IF(B71&gt;=1.5*B70,"YES","")</f>
        <v>YES</v>
      </c>
    </row>
    <row r="72" spans="8:8" ht="15.1">
      <c r="A72" s="6" t="s">
        <v>498</v>
      </c>
      <c r="B72" s="5">
        <f>_xlfn.SUMIFS(Sheet1!D:D,Sheet1!G:G,A72)</f>
        <v>10600.0</v>
      </c>
      <c r="C72" s="5">
        <f>_xlfn.SUMIFS(Sheet1!E:E,Sheet1!G:G,A72)</f>
        <v>236.0</v>
      </c>
      <c r="D72" s="5">
        <f>B72-B71</f>
        <v>644.0</v>
      </c>
      <c r="E72" s="5">
        <f>IF(B71=0,0,(B72-B71)/B71)</f>
        <v>0.06468461229409402</v>
      </c>
      <c r="F72" s="5" t="str">
        <f>IF(B72&gt;=1.5*B71,"YES","")</f>
        <v/>
      </c>
    </row>
    <row r="73" spans="8:8" ht="15.1">
      <c r="A73" s="6" t="s">
        <v>505</v>
      </c>
      <c r="B73" s="5">
        <f>_xlfn.SUMIFS(Sheet1!D:D,Sheet1!G:G,A73)</f>
        <v>13526.0</v>
      </c>
      <c r="C73" s="5">
        <f>_xlfn.SUMIFS(Sheet1!E:E,Sheet1!G:G,A73)</f>
        <v>255.0</v>
      </c>
      <c r="D73" s="5">
        <f>B73-B72</f>
        <v>2926.0</v>
      </c>
      <c r="E73" s="5">
        <f>IF(B72=0,0,(B73-B72)/B72)</f>
        <v>0.2760377358490566</v>
      </c>
      <c r="F73" s="5" t="str">
        <f>IF(B73&gt;=1.5*B72,"YES","")</f>
        <v/>
      </c>
    </row>
    <row r="74" spans="8:8" ht="15.1">
      <c r="A74" s="6" t="s">
        <v>512</v>
      </c>
      <c r="B74" s="5">
        <f>_xlfn.SUMIFS(Sheet1!D:D,Sheet1!G:G,A74)</f>
        <v>19428.0</v>
      </c>
      <c r="C74" s="5">
        <f>_xlfn.SUMIFS(Sheet1!E:E,Sheet1!G:G,A74)</f>
        <v>333.0</v>
      </c>
      <c r="D74" s="5">
        <f>B74-B73</f>
        <v>5902.0</v>
      </c>
      <c r="E74" s="5">
        <f>IF(B73=0,0,(B74-B73)/B73)</f>
        <v>0.4363448173887328</v>
      </c>
      <c r="F74" s="5" t="str">
        <f>IF(B74&gt;=1.5*B73,"YES","")</f>
        <v/>
      </c>
    </row>
    <row r="75" spans="8:8" ht="15.1">
      <c r="A75" s="6" t="s">
        <v>519</v>
      </c>
      <c r="B75" s="5">
        <f>_xlfn.SUMIFS(Sheet1!D:D,Sheet1!G:G,A75)</f>
        <v>29630.0</v>
      </c>
      <c r="C75" s="5">
        <f>_xlfn.SUMIFS(Sheet1!E:E,Sheet1!G:G,A75)</f>
        <v>505.0</v>
      </c>
      <c r="D75" s="5">
        <f>B75-B74</f>
        <v>10202.0</v>
      </c>
      <c r="E75" s="5">
        <f>IF(B74=0,0,(B75-B74)/B74)</f>
        <v>0.5251183858348775</v>
      </c>
      <c r="F75" s="5" t="str">
        <f>IF(B75&gt;=1.5*B74,"YES","")</f>
        <v>YES</v>
      </c>
    </row>
    <row r="76" spans="8:8" ht="15.1">
      <c r="A76" s="6" t="s">
        <v>526</v>
      </c>
      <c r="B76" s="5">
        <f>_xlfn.SUMIFS(Sheet1!D:D,Sheet1!G:G,A76)</f>
        <v>46381.0</v>
      </c>
      <c r="C76" s="5">
        <f>_xlfn.SUMIFS(Sheet1!E:E,Sheet1!G:G,A76)</f>
        <v>716.0</v>
      </c>
      <c r="D76" s="5">
        <f>B76-B75</f>
        <v>16751.0</v>
      </c>
      <c r="E76" s="5">
        <f>IF(B75=0,0,(B76-B75)/B75)</f>
        <v>0.5653391832602093</v>
      </c>
      <c r="F76" s="5" t="str">
        <f>IF(B76&gt;=1.5*B75,"YES","")</f>
        <v>YES</v>
      </c>
    </row>
    <row r="77" spans="8:8" ht="15.1">
      <c r="A77" s="6" t="s">
        <v>533</v>
      </c>
      <c r="B77" s="5">
        <f>_xlfn.SUMIFS(Sheet1!D:D,Sheet1!G:G,A77)</f>
        <v>64310.0</v>
      </c>
      <c r="C77" s="5">
        <f>_xlfn.SUMIFS(Sheet1!E:E,Sheet1!G:G,A77)</f>
        <v>1090.0</v>
      </c>
      <c r="D77" s="5">
        <f>B77-B76</f>
        <v>17929.0</v>
      </c>
      <c r="E77" s="5">
        <f>IF(B76=0,0,(B77-B76)/B76)</f>
        <v>0.3865591513766413</v>
      </c>
      <c r="F77" s="5" t="str">
        <f>IF(B77&gt;=1.5*B76,"YES","")</f>
        <v/>
      </c>
    </row>
    <row r="78" spans="8:8" ht="15.1">
      <c r="A78" s="6" t="s">
        <v>540</v>
      </c>
      <c r="B78" s="5">
        <f>_xlfn.SUMIFS(Sheet1!D:D,Sheet1!G:G,A78)</f>
        <v>81970.0</v>
      </c>
      <c r="C78" s="5">
        <f>_xlfn.SUMIFS(Sheet1!E:E,Sheet1!G:G,A78)</f>
        <v>1459.0</v>
      </c>
      <c r="D78" s="5">
        <f>B78-B77</f>
        <v>17660.0</v>
      </c>
      <c r="E78" s="5">
        <f>IF(B77=0,0,(B78-B77)/B77)</f>
        <v>0.2746073705489038</v>
      </c>
      <c r="F78" s="5" t="str">
        <f>IF(B78&gt;=1.5*B77,"YES","")</f>
        <v/>
      </c>
    </row>
    <row r="79" spans="8:8" ht="15.1">
      <c r="A79" s="6" t="s">
        <v>547</v>
      </c>
      <c r="B79" s="5">
        <f>_xlfn.SUMIFS(Sheet1!D:D,Sheet1!G:G,A79)</f>
        <v>76965.0</v>
      </c>
      <c r="C79" s="5">
        <f>_xlfn.SUMIFS(Sheet1!E:E,Sheet1!G:G,A79)</f>
        <v>1446.0</v>
      </c>
      <c r="D79" s="5">
        <f>B79-B78</f>
        <v>-5005.0</v>
      </c>
      <c r="E79" s="5">
        <f>IF(B78=0,0,(B79-B78)/B78)</f>
        <v>-0.061058923996584115</v>
      </c>
      <c r="F79" s="5" t="str">
        <f>IF(B79&gt;=1.5*B78,"YES","")</f>
        <v/>
      </c>
    </row>
    <row r="80" spans="8:8" ht="15.1">
      <c r="A80" s="6" t="s">
        <v>554</v>
      </c>
      <c r="B80" s="5">
        <f>_xlfn.SUMIFS(Sheet1!D:D,Sheet1!G:G,A80)</f>
        <v>74479.0</v>
      </c>
      <c r="C80" s="5">
        <f>_xlfn.SUMIFS(Sheet1!E:E,Sheet1!G:G,A80)</f>
        <v>1518.0</v>
      </c>
      <c r="D80" s="5">
        <f>B80-B79</f>
        <v>-2486.0</v>
      </c>
      <c r="E80" s="5">
        <f>IF(B79=0,0,(B80-B79)/B79)</f>
        <v>-0.03230039628402521</v>
      </c>
      <c r="F80" s="5" t="str">
        <f>IF(B80&gt;=1.5*B79,"YES","")</f>
        <v/>
      </c>
    </row>
    <row r="81" spans="8:8" ht="15.1">
      <c r="A81" s="6" t="s">
        <v>561</v>
      </c>
      <c r="B81" s="5">
        <f>_xlfn.SUMIFS(Sheet1!D:D,Sheet1!G:G,A81)</f>
        <v>98928.0</v>
      </c>
      <c r="C81" s="5">
        <f>_xlfn.SUMIFS(Sheet1!E:E,Sheet1!G:G,A81)</f>
        <v>1622.0</v>
      </c>
      <c r="D81" s="5">
        <f>B81-B80</f>
        <v>24449.0</v>
      </c>
      <c r="E81" s="5">
        <f>IF(B80=0,0,(B81-B80)/B80)</f>
        <v>0.3282670282898535</v>
      </c>
      <c r="F81" s="5" t="str">
        <f>IF(B81&gt;=1.5*B80,"YES","")</f>
        <v/>
      </c>
    </row>
    <row r="82" spans="8:8" ht="15.1">
      <c r="A82" s="6" t="s">
        <v>568</v>
      </c>
      <c r="B82" s="5">
        <f>_xlfn.SUMIFS(Sheet1!D:D,Sheet1!G:G,A82)</f>
        <v>76832.0</v>
      </c>
      <c r="C82" s="5">
        <f>_xlfn.SUMIFS(Sheet1!E:E,Sheet1!G:G,A82)</f>
        <v>1760.0</v>
      </c>
      <c r="D82" s="5">
        <f>B82-B81</f>
        <v>-22096.0</v>
      </c>
      <c r="E82" s="5">
        <f>IF(B81=0,0,(B82-B81)/B81)</f>
        <v>-0.22335435872553777</v>
      </c>
      <c r="F82" s="5" t="str">
        <f>IF(B82&gt;=1.5*B81,"YES","")</f>
        <v/>
      </c>
    </row>
    <row r="83" spans="8:8" ht="15.1">
      <c r="A83" s="6" t="s">
        <v>575</v>
      </c>
      <c r="B83" s="5">
        <f>_xlfn.SUMIFS(Sheet1!D:D,Sheet1!G:G,A83)</f>
        <v>53902.0</v>
      </c>
      <c r="C83" s="5">
        <f>_xlfn.SUMIFS(Sheet1!E:E,Sheet1!G:G,A83)</f>
        <v>1321.0</v>
      </c>
      <c r="D83" s="5">
        <f>B83-B82</f>
        <v>-22930.0</v>
      </c>
      <c r="E83" s="5">
        <f>IF(B82=0,0,(B83-B82)/B82)</f>
        <v>-0.2984433569346106</v>
      </c>
      <c r="F83" s="5" t="str">
        <f>IF(B83&gt;=1.5*B82,"YES","")</f>
        <v/>
      </c>
    </row>
    <row r="84" spans="8:8" ht="15.1">
      <c r="A84" s="6" t="s">
        <v>582</v>
      </c>
      <c r="B84" s="5">
        <f>_xlfn.SUMIFS(Sheet1!D:D,Sheet1!G:G,A84)</f>
        <v>37286.0</v>
      </c>
      <c r="C84" s="5">
        <f>_xlfn.SUMIFS(Sheet1!E:E,Sheet1!G:G,A84)</f>
        <v>908.0</v>
      </c>
      <c r="D84" s="5">
        <f>B84-B83</f>
        <v>-16616.0</v>
      </c>
      <c r="E84" s="5">
        <f>IF(B83=0,0,(B84-B83)/B83)</f>
        <v>-0.3082631442247041</v>
      </c>
      <c r="F84" s="5" t="str">
        <f>IF(B84&gt;=1.5*B83,"YES","")</f>
        <v/>
      </c>
    </row>
    <row r="85" spans="8:8" ht="15.1">
      <c r="A85" s="6" t="s">
        <v>589</v>
      </c>
      <c r="B85" s="5">
        <f>_xlfn.SUMIFS(Sheet1!D:D,Sheet1!G:G,A85)</f>
        <v>25750.0</v>
      </c>
      <c r="C85" s="5">
        <f>_xlfn.SUMIFS(Sheet1!E:E,Sheet1!G:G,A85)</f>
        <v>647.0</v>
      </c>
      <c r="D85" s="5">
        <f>B85-B84</f>
        <v>-11536.0</v>
      </c>
      <c r="E85" s="5">
        <f>IF(B84=0,0,(B85-B84)/B84)</f>
        <v>-0.30939226519337015</v>
      </c>
      <c r="F85" s="5" t="str">
        <f>IF(B85&gt;=1.5*B84,"YES","")</f>
        <v/>
      </c>
    </row>
    <row r="86" spans="8:8" ht="15.1">
      <c r="A86" s="6" t="s">
        <v>596</v>
      </c>
      <c r="B86" s="5">
        <f>_xlfn.SUMIFS(Sheet1!D:D,Sheet1!G:G,A86)</f>
        <v>18622.0</v>
      </c>
      <c r="C86" s="5">
        <f>_xlfn.SUMIFS(Sheet1!E:E,Sheet1!G:G,A86)</f>
        <v>462.0</v>
      </c>
      <c r="D86" s="5">
        <f>B86-B85</f>
        <v>-7128.0</v>
      </c>
      <c r="E86" s="5">
        <f>IF(B85=0,0,(B86-B85)/B85)</f>
        <v>-0.2768155339805825</v>
      </c>
      <c r="F86" s="5" t="str">
        <f>IF(B86&gt;=1.5*B85,"YES","")</f>
        <v/>
      </c>
    </row>
    <row r="87" spans="8:8" ht="15.1">
      <c r="A87" s="6" t="s">
        <v>603</v>
      </c>
      <c r="B87" s="5">
        <f>_xlfn.SUMIFS(Sheet1!D:D,Sheet1!G:G,A87)</f>
        <v>14039.0</v>
      </c>
      <c r="C87" s="5">
        <f>_xlfn.SUMIFS(Sheet1!E:E,Sheet1!G:G,A87)</f>
        <v>322.0</v>
      </c>
      <c r="D87" s="5">
        <f>B87-B86</f>
        <v>-4583.0</v>
      </c>
      <c r="E87" s="5">
        <f>IF(B86=0,0,(B87-B86)/B86)</f>
        <v>-0.24610675545054236</v>
      </c>
      <c r="F87" s="5" t="str">
        <f>IF(B87&gt;=1.5*B86,"YES","")</f>
        <v/>
      </c>
    </row>
    <row r="88" spans="8:8" ht="15.1">
      <c r="A88" s="6" t="s">
        <v>610</v>
      </c>
      <c r="B88" s="5">
        <f>_xlfn.SUMIFS(Sheet1!D:D,Sheet1!G:G,A88)</f>
        <v>10835.0</v>
      </c>
      <c r="C88" s="5">
        <f>_xlfn.SUMIFS(Sheet1!E:E,Sheet1!G:G,A88)</f>
        <v>255.0</v>
      </c>
      <c r="D88" s="5">
        <f>B88-B87</f>
        <v>-3204.0</v>
      </c>
      <c r="E88" s="5">
        <f>IF(B87=0,0,(B88-B87)/B87)</f>
        <v>-0.22822138328940808</v>
      </c>
      <c r="F88" s="5" t="str">
        <f>IF(B88&gt;=1.5*B87,"YES","")</f>
        <v/>
      </c>
    </row>
    <row r="89" spans="8:8" ht="15.1">
      <c r="A89" s="6" t="s">
        <v>617</v>
      </c>
      <c r="B89" s="5">
        <f>_xlfn.SUMIFS(Sheet1!D:D,Sheet1!G:G,A89)</f>
        <v>7875.0</v>
      </c>
      <c r="C89" s="5">
        <f>_xlfn.SUMIFS(Sheet1!E:E,Sheet1!G:G,A89)</f>
        <v>174.0</v>
      </c>
      <c r="D89" s="5">
        <f>B89-B88</f>
        <v>-2960.0</v>
      </c>
      <c r="E89" s="5">
        <f>IF(B88=0,0,(B89-B88)/B88)</f>
        <v>-0.27318874019381634</v>
      </c>
      <c r="F89" s="5" t="str">
        <f>IF(B89&gt;=1.5*B88,"YES","")</f>
        <v/>
      </c>
    </row>
    <row r="90" spans="8:8" ht="15.1">
      <c r="A90" s="6" t="s">
        <v>624</v>
      </c>
      <c r="B90" s="5">
        <f>_xlfn.SUMIFS(Sheet1!D:D,Sheet1!G:G,A90)</f>
        <v>5104.0</v>
      </c>
      <c r="C90" s="5">
        <f>_xlfn.SUMIFS(Sheet1!E:E,Sheet1!G:G,A90)</f>
        <v>148.0</v>
      </c>
      <c r="D90" s="5">
        <f>B90-B89</f>
        <v>-2771.0</v>
      </c>
      <c r="E90" s="5">
        <f>IF(B89=0,0,(B90-B89)/B89)</f>
        <v>-0.3518730158730159</v>
      </c>
      <c r="F90" s="5" t="str">
        <f>IF(B90&gt;=1.5*B89,"YES","")</f>
        <v/>
      </c>
    </row>
    <row r="91" spans="8:8" ht="15.1">
      <c r="A91" s="6" t="s">
        <v>631</v>
      </c>
      <c r="B91" s="5">
        <f>_xlfn.SUMIFS(Sheet1!D:D,Sheet1!G:G,A91)</f>
        <v>3864.0</v>
      </c>
      <c r="C91" s="5">
        <f>_xlfn.SUMIFS(Sheet1!E:E,Sheet1!G:G,A91)</f>
        <v>95.0</v>
      </c>
      <c r="D91" s="5">
        <f>B91-B90</f>
        <v>-1240.0</v>
      </c>
      <c r="E91" s="5">
        <f>IF(B90=0,0,(B91-B90)/B90)</f>
        <v>-0.24294670846394983</v>
      </c>
      <c r="F91" s="5" t="str">
        <f>IF(B91&gt;=1.5*B90,"YES","")</f>
        <v/>
      </c>
    </row>
    <row r="92" spans="8:8" ht="15.1">
      <c r="A92" s="6" t="s">
        <v>638</v>
      </c>
      <c r="B92" s="5">
        <f>_xlfn.SUMIFS(Sheet1!D:D,Sheet1!G:G,A92)</f>
        <v>2645.0</v>
      </c>
      <c r="C92" s="5">
        <f>_xlfn.SUMIFS(Sheet1!E:E,Sheet1!G:G,A92)</f>
        <v>61.0</v>
      </c>
      <c r="D92" s="5">
        <f>B92-B91</f>
        <v>-1219.0</v>
      </c>
      <c r="E92" s="5">
        <f>IF(B91=0,0,(B92-B91)/B91)</f>
        <v>-0.31547619047619047</v>
      </c>
      <c r="F92" s="5" t="str">
        <f>IF(B92&gt;=1.5*B91,"YES","")</f>
        <v/>
      </c>
    </row>
    <row r="93" spans="8:8" ht="15.1">
      <c r="A93" s="6" t="s">
        <v>645</v>
      </c>
      <c r="B93" s="5">
        <f>_xlfn.SUMIFS(Sheet1!D:D,Sheet1!G:G,A93)</f>
        <v>1899.0</v>
      </c>
      <c r="C93" s="5">
        <f>_xlfn.SUMIFS(Sheet1!E:E,Sheet1!G:G,A93)</f>
        <v>50.0</v>
      </c>
      <c r="D93" s="5">
        <f>B93-B92</f>
        <v>-746.0</v>
      </c>
      <c r="E93" s="5">
        <f>IF(B92=0,0,(B93-B92)/B92)</f>
        <v>-0.2820415879017013</v>
      </c>
      <c r="F93" s="5" t="str">
        <f>IF(B93&gt;=1.5*B92,"YES","")</f>
        <v/>
      </c>
    </row>
    <row r="94" spans="8:8" ht="15.1">
      <c r="A94" s="6" t="s">
        <v>652</v>
      </c>
      <c r="B94" s="5">
        <f>_xlfn.SUMIFS(Sheet1!D:D,Sheet1!G:G,A94)</f>
        <v>1675.0</v>
      </c>
      <c r="C94" s="5">
        <f>_xlfn.SUMIFS(Sheet1!E:E,Sheet1!G:G,A94)</f>
        <v>39.0</v>
      </c>
      <c r="D94" s="5">
        <f>B94-B93</f>
        <v>-224.0</v>
      </c>
      <c r="E94" s="5">
        <f>IF(B93=0,0,(B94-B93)/B93)</f>
        <v>-0.11795681937862032</v>
      </c>
      <c r="F94" s="5" t="str">
        <f>IF(B94&gt;=1.5*B93,"YES","")</f>
        <v/>
      </c>
    </row>
    <row r="95" spans="8:8" ht="15.1">
      <c r="A95" s="6" t="s">
        <v>659</v>
      </c>
      <c r="B95" s="5">
        <f>_xlfn.SUMIFS(Sheet1!D:D,Sheet1!G:G,A95)</f>
        <v>1431.0</v>
      </c>
      <c r="C95" s="5">
        <f>_xlfn.SUMIFS(Sheet1!E:E,Sheet1!G:G,A95)</f>
        <v>26.0</v>
      </c>
      <c r="D95" s="5">
        <f>B95-B94</f>
        <v>-244.0</v>
      </c>
      <c r="E95" s="5">
        <f>IF(B94=0,0,(B95-B94)/B94)</f>
        <v>-0.14567164179104478</v>
      </c>
      <c r="F95" s="5" t="str">
        <f>IF(B95&gt;=1.5*B94,"YES","")</f>
        <v/>
      </c>
    </row>
    <row r="96" spans="8:8" ht="15.1">
      <c r="A96" s="6" t="s">
        <v>666</v>
      </c>
      <c r="B96" s="5">
        <f>_xlfn.SUMIFS(Sheet1!D:D,Sheet1!G:G,A96)</f>
        <v>1545.0</v>
      </c>
      <c r="C96" s="5">
        <f>_xlfn.SUMIFS(Sheet1!E:E,Sheet1!G:G,A96)</f>
        <v>28.0</v>
      </c>
      <c r="D96" s="5">
        <f>B96-B95</f>
        <v>114.0</v>
      </c>
      <c r="E96" s="5">
        <f>IF(B95=0,0,(B96-B95)/B95)</f>
        <v>0.07966457023060797</v>
      </c>
      <c r="F96" s="5" t="str">
        <f>IF(B96&gt;=1.5*B95,"YES","")</f>
        <v/>
      </c>
    </row>
    <row r="97" spans="8:8" ht="15.1">
      <c r="A97" s="6" t="s">
        <v>673</v>
      </c>
      <c r="B97" s="5">
        <f>_xlfn.SUMIFS(Sheet1!D:D,Sheet1!G:G,A97)</f>
        <v>1734.0</v>
      </c>
      <c r="C97" s="5">
        <f>_xlfn.SUMIFS(Sheet1!E:E,Sheet1!G:G,A97)</f>
        <v>27.0</v>
      </c>
      <c r="D97" s="5">
        <f>B97-B96</f>
        <v>189.0</v>
      </c>
      <c r="E97" s="5">
        <f>IF(B96=0,0,(B97-B96)/B96)</f>
        <v>0.12233009708737864</v>
      </c>
      <c r="F97" s="5" t="str">
        <f>IF(B97&gt;=1.5*B96,"YES","")</f>
        <v/>
      </c>
    </row>
    <row r="98" spans="8:8" ht="15.1">
      <c r="A98" s="6" t="s">
        <v>680</v>
      </c>
      <c r="B98" s="5">
        <f>_xlfn.SUMIFS(Sheet1!D:D,Sheet1!G:G,A98)</f>
        <v>1618.0</v>
      </c>
      <c r="C98" s="5">
        <f>_xlfn.SUMIFS(Sheet1!E:E,Sheet1!G:G,A98)</f>
        <v>22.0</v>
      </c>
      <c r="D98" s="5">
        <f>B98-B97</f>
        <v>-116.0</v>
      </c>
      <c r="E98" s="5">
        <f>IF(B97=0,0,(B98-B97)/B97)</f>
        <v>-0.06689734717416378</v>
      </c>
      <c r="F98" s="5" t="str">
        <f>IF(B98&gt;=1.5*B97,"YES","")</f>
        <v/>
      </c>
    </row>
    <row r="99" spans="8:8" ht="15.1">
      <c r="A99" s="6" t="s">
        <v>687</v>
      </c>
      <c r="B99" s="5">
        <f>_xlfn.SUMIFS(Sheet1!D:D,Sheet1!G:G,A99)</f>
        <v>1722.0</v>
      </c>
      <c r="C99" s="5">
        <f>_xlfn.SUMIFS(Sheet1!E:E,Sheet1!G:G,A99)</f>
        <v>33.0</v>
      </c>
      <c r="D99" s="5">
        <f>B99-B98</f>
        <v>104.0</v>
      </c>
      <c r="E99" s="5">
        <f>IF(B98=0,0,(B99-B98)/B98)</f>
        <v>0.06427688504326329</v>
      </c>
      <c r="F99" s="5" t="str">
        <f>IF(B99&gt;=1.5*B98,"YES","")</f>
        <v/>
      </c>
    </row>
    <row r="100" spans="8:8" ht="15.1">
      <c r="A100" s="6" t="s">
        <v>694</v>
      </c>
      <c r="B100" s="5">
        <f>_xlfn.SUMIFS(Sheet1!D:D,Sheet1!G:G,A100)</f>
        <v>2014.0</v>
      </c>
      <c r="C100" s="5">
        <f>_xlfn.SUMIFS(Sheet1!E:E,Sheet1!G:G,A100)</f>
        <v>22.0</v>
      </c>
      <c r="D100" s="5">
        <f>B100-B99</f>
        <v>292.0</v>
      </c>
      <c r="E100" s="5">
        <f>IF(B99=0,0,(B100-B99)/B99)</f>
        <v>0.16957026713124274</v>
      </c>
      <c r="F100" s="5" t="str">
        <f>IF(B100&gt;=1.5*B99,"YES","")</f>
        <v/>
      </c>
    </row>
    <row r="101" spans="8:8" ht="15.1">
      <c r="A101" s="6" t="s">
        <v>701</v>
      </c>
      <c r="B101" s="5">
        <f>_xlfn.SUMIFS(Sheet1!D:D,Sheet1!G:G,A101)</f>
        <v>1684.0</v>
      </c>
      <c r="C101" s="5">
        <f>_xlfn.SUMIFS(Sheet1!E:E,Sheet1!G:G,A101)</f>
        <v>14.0</v>
      </c>
      <c r="D101" s="5">
        <f>B101-B100</f>
        <v>-330.0</v>
      </c>
      <c r="E101" s="5">
        <f>IF(B100=0,0,(B101-B100)/B100)</f>
        <v>-0.16385302879841113</v>
      </c>
      <c r="F101" s="5" t="str">
        <f>IF(B101&gt;=1.5*B100,"YES","")</f>
        <v/>
      </c>
    </row>
    <row r="102" spans="8:8" ht="15.1">
      <c r="A102" s="6" t="s">
        <v>708</v>
      </c>
      <c r="B102" s="5">
        <f>_xlfn.SUMIFS(Sheet1!D:D,Sheet1!G:G,A102)</f>
        <v>2532.0</v>
      </c>
      <c r="C102" s="5">
        <f>_xlfn.SUMIFS(Sheet1!E:E,Sheet1!G:G,A102)</f>
        <v>11.0</v>
      </c>
      <c r="D102" s="5">
        <f>B102-B101</f>
        <v>848.0</v>
      </c>
      <c r="E102" s="5">
        <f>IF(B101=0,0,(B102-B101)/B101)</f>
        <v>0.503562945368171</v>
      </c>
      <c r="F102" s="5" t="str">
        <f>IF(B102&gt;=1.5*B101,"YES","")</f>
        <v>YES</v>
      </c>
    </row>
    <row r="103" spans="8:8" ht="15.1">
      <c r="A103" s="6" t="s">
        <v>715</v>
      </c>
      <c r="B103" s="5">
        <f>_xlfn.SUMIFS(Sheet1!D:D,Sheet1!G:G,A103)</f>
        <v>4289.0</v>
      </c>
      <c r="C103" s="5">
        <f>_xlfn.SUMIFS(Sheet1!E:E,Sheet1!G:G,A103)</f>
        <v>27.0</v>
      </c>
      <c r="D103" s="5">
        <f>B103-B102</f>
        <v>1757.0</v>
      </c>
      <c r="E103" s="5">
        <f>IF(B102=0,0,(B103-B102)/B102)</f>
        <v>0.6939178515007899</v>
      </c>
      <c r="F103" s="5" t="str">
        <f>IF(B103&gt;=1.5*B102,"YES","")</f>
        <v>YES</v>
      </c>
    </row>
    <row r="104" spans="8:8" ht="15.1">
      <c r="A104" s="6" t="s">
        <v>722</v>
      </c>
      <c r="B104" s="5">
        <f>_xlfn.SUMIFS(Sheet1!D:D,Sheet1!G:G,A104)</f>
        <v>12498.0</v>
      </c>
      <c r="C104" s="5">
        <f>_xlfn.SUMIFS(Sheet1!E:E,Sheet1!G:G,A104)</f>
        <v>21.0</v>
      </c>
      <c r="D104" s="5">
        <f>B104-B103</f>
        <v>8209.0</v>
      </c>
      <c r="E104" s="5">
        <f>IF(B103=0,0,(B104-B103)/B103)</f>
        <v>1.913965959431103</v>
      </c>
      <c r="F104" s="5" t="str">
        <f>IF(B104&gt;=1.5*B103,"YES","")</f>
        <v>YES</v>
      </c>
    </row>
    <row r="105" spans="8:8" ht="15.1">
      <c r="A105" s="6" t="s">
        <v>729</v>
      </c>
      <c r="B105" s="5">
        <f>_xlfn.SUMIFS(Sheet1!D:D,Sheet1!G:G,A105)</f>
        <v>40989.0</v>
      </c>
      <c r="C105" s="5">
        <f>_xlfn.SUMIFS(Sheet1!E:E,Sheet1!G:G,A105)</f>
        <v>65.0</v>
      </c>
      <c r="D105" s="5">
        <f>B105-B104</f>
        <v>28491.0</v>
      </c>
      <c r="E105" s="5">
        <f>IF(B104=0,0,(B105-B104)/B104)</f>
        <v>2.2796447431589053</v>
      </c>
      <c r="F105" s="5" t="str">
        <f>IF(B105&gt;=1.5*B104,"YES","")</f>
        <v>YES</v>
      </c>
    </row>
    <row r="106" spans="8:8" ht="15.1">
      <c r="A106" s="6" t="s">
        <v>736</v>
      </c>
      <c r="B106" s="5">
        <f>_xlfn.SUMIFS(Sheet1!D:D,Sheet1!G:G,A106)</f>
        <v>89230.0</v>
      </c>
      <c r="C106" s="5">
        <f>_xlfn.SUMIFS(Sheet1!E:E,Sheet1!G:G,A106)</f>
        <v>97.0</v>
      </c>
      <c r="D106" s="5">
        <f>B106-B105</f>
        <v>48241.0</v>
      </c>
      <c r="E106" s="5">
        <f>IF(B105=0,0,(B106-B105)/B105)</f>
        <v>1.1769255166020152</v>
      </c>
      <c r="F106" s="5" t="str">
        <f>IF(B106&gt;=1.5*B105,"YES","")</f>
        <v>YES</v>
      </c>
    </row>
    <row r="107" spans="8:8" ht="15.1">
      <c r="A107" s="6" t="s">
        <v>743</v>
      </c>
      <c r="B107" s="5">
        <f>_xlfn.SUMIFS(Sheet1!D:D,Sheet1!G:G,A107)</f>
        <v>92656.0</v>
      </c>
      <c r="C107" s="5">
        <f>_xlfn.SUMIFS(Sheet1!E:E,Sheet1!G:G,A107)</f>
        <v>188.0</v>
      </c>
      <c r="D107" s="5">
        <f>B107-B106</f>
        <v>3426.0</v>
      </c>
      <c r="E107" s="5">
        <f>IF(B106=0,0,(B107-B106)/B106)</f>
        <v>0.038395158578953266</v>
      </c>
      <c r="F107" s="5" t="str">
        <f>IF(B107&gt;=1.5*B106,"YES","")</f>
        <v/>
      </c>
    </row>
    <row r="108" spans="8:8" ht="15.1">
      <c r="A108" s="6" t="s">
        <v>750</v>
      </c>
      <c r="B108" s="5">
        <f>_xlfn.SUMIFS(Sheet1!D:D,Sheet1!G:G,A108)</f>
        <v>63091.0</v>
      </c>
      <c r="C108" s="5">
        <f>_xlfn.SUMIFS(Sheet1!E:E,Sheet1!G:G,A108)</f>
        <v>242.0</v>
      </c>
      <c r="D108" s="5">
        <f>B108-B107</f>
        <v>-29565.0</v>
      </c>
      <c r="E108" s="5">
        <f>IF(B107=0,0,(B108-B107)/B107)</f>
        <v>-0.31908349162493527</v>
      </c>
      <c r="F108" s="5" t="str">
        <f>IF(B108&gt;=1.5*B107,"YES","")</f>
        <v/>
      </c>
    </row>
    <row r="109" spans="8:8" ht="15.1">
      <c r="A109" s="6" t="s">
        <v>757</v>
      </c>
      <c r="B109" s="5">
        <f>_xlfn.SUMIFS(Sheet1!D:D,Sheet1!G:G,A109)</f>
        <v>35760.0</v>
      </c>
      <c r="C109" s="5">
        <f>_xlfn.SUMIFS(Sheet1!E:E,Sheet1!G:G,A109)</f>
        <v>184.0</v>
      </c>
      <c r="D109" s="5">
        <f>B109-B108</f>
        <v>-27331.0</v>
      </c>
      <c r="E109" s="5">
        <f>IF(B108=0,0,(B109-B108)/B108)</f>
        <v>-0.43319966397742943</v>
      </c>
      <c r="F109" s="5" t="str">
        <f>IF(B109&gt;=1.5*B108,"YES","")</f>
        <v/>
      </c>
    </row>
    <row r="110" spans="8:8" ht="15.1">
      <c r="A110" s="6" t="s">
        <v>764</v>
      </c>
      <c r="B110" s="5">
        <f>_xlfn.SUMIFS(Sheet1!D:D,Sheet1!G:G,A110)</f>
        <v>15104.0</v>
      </c>
      <c r="C110" s="5">
        <f>_xlfn.SUMIFS(Sheet1!E:E,Sheet1!G:G,A110)</f>
        <v>108.0</v>
      </c>
      <c r="D110" s="5">
        <f>B110-B109</f>
        <v>-20656.0</v>
      </c>
      <c r="E110" s="5">
        <f>IF(B109=0,0,(B110-B109)/B109)</f>
        <v>-0.5776286353467561</v>
      </c>
      <c r="F110" s="5" t="str">
        <f>IF(B110&gt;=1.5*B109,"YES","")</f>
        <v/>
      </c>
    </row>
    <row r="111" spans="8:8" ht="15.1">
      <c r="A111" s="6" t="s">
        <v>771</v>
      </c>
      <c r="B111" s="5">
        <f>_xlfn.SUMIFS(Sheet1!D:D,Sheet1!G:G,A111)</f>
        <v>6973.0</v>
      </c>
      <c r="C111" s="5">
        <f>_xlfn.SUMIFS(Sheet1!E:E,Sheet1!G:G,A111)</f>
        <v>58.0</v>
      </c>
      <c r="D111" s="5">
        <f>B111-B110</f>
        <v>-8131.0</v>
      </c>
      <c r="E111" s="5">
        <f>IF(B110=0,0,(B111-B110)/B110)</f>
        <v>-0.538334216101695</v>
      </c>
      <c r="F111" s="5" t="str">
        <f>IF(B111&gt;=1.5*B110,"YES","")</f>
        <v/>
      </c>
    </row>
    <row r="112" spans="8:8" ht="15.1">
      <c r="A112" s="6" t="s">
        <v>778</v>
      </c>
      <c r="B112" s="5">
        <f>_xlfn.SUMIFS(Sheet1!D:D,Sheet1!G:G,A112)</f>
        <v>3363.0</v>
      </c>
      <c r="C112" s="5">
        <f>_xlfn.SUMIFS(Sheet1!E:E,Sheet1!G:G,A112)</f>
        <v>44.0</v>
      </c>
      <c r="D112" s="5">
        <f>B112-B111</f>
        <v>-3610.0</v>
      </c>
      <c r="E112" s="5">
        <f>IF(B111=0,0,(B112-B111)/B111)</f>
        <v>-0.5177111716621253</v>
      </c>
      <c r="F112" s="5" t="str">
        <f>IF(B112&gt;=1.5*B111,"YES","")</f>
        <v/>
      </c>
    </row>
    <row r="113" spans="8:8" ht="15.1">
      <c r="A113" s="6" t="s">
        <v>785</v>
      </c>
      <c r="B113" s="5">
        <f>_xlfn.SUMIFS(Sheet1!D:D,Sheet1!G:G,A113)</f>
        <v>1653.0</v>
      </c>
      <c r="C113" s="5">
        <f>_xlfn.SUMIFS(Sheet1!E:E,Sheet1!G:G,A113)</f>
        <v>15.0</v>
      </c>
      <c r="D113" s="5">
        <f>B113-B112</f>
        <v>-1710.0</v>
      </c>
      <c r="E113" s="5">
        <f>IF(B112=0,0,(B113-B112)/B112)</f>
        <v>-0.5084745762711864</v>
      </c>
      <c r="F113" s="5" t="str">
        <f>IF(B113&gt;=1.5*B112,"YES","")</f>
        <v/>
      </c>
    </row>
    <row r="114" spans="8:8" ht="15.1">
      <c r="A114" s="6" t="s">
        <v>792</v>
      </c>
      <c r="B114" s="5">
        <f>_xlfn.SUMIFS(Sheet1!D:D,Sheet1!G:G,A114)</f>
        <v>856.0</v>
      </c>
      <c r="C114" s="5">
        <f>_xlfn.SUMIFS(Sheet1!E:E,Sheet1!G:G,A114)</f>
        <v>6.0</v>
      </c>
      <c r="D114" s="5">
        <f>B114-B113</f>
        <v>-797.0</v>
      </c>
      <c r="E114" s="5">
        <f>IF(B113=0,0,(B114-B113)/B113)</f>
        <v>-0.4821536600120992</v>
      </c>
      <c r="F114" s="5" t="str">
        <f>IF(B114&gt;=1.5*B113,"YES","")</f>
        <v/>
      </c>
    </row>
    <row r="115" spans="8:8" ht="15.1">
      <c r="A115" s="6" t="s">
        <v>799</v>
      </c>
      <c r="B115" s="5">
        <f>_xlfn.SUMIFS(Sheet1!D:D,Sheet1!G:G,A115)</f>
        <v>524.0</v>
      </c>
      <c r="C115" s="5">
        <f>_xlfn.SUMIFS(Sheet1!E:E,Sheet1!G:G,A115)</f>
        <v>4.0</v>
      </c>
      <c r="D115" s="5">
        <f>B115-B114</f>
        <v>-332.0</v>
      </c>
      <c r="E115" s="5">
        <f>IF(B114=0,0,(B115-B114)/B114)</f>
        <v>-0.3878504672897196</v>
      </c>
      <c r="F115" s="5" t="str">
        <f>IF(B115&gt;=1.5*B114,"YES","")</f>
        <v/>
      </c>
    </row>
    <row r="116" spans="8:8" ht="15.1">
      <c r="A116" s="6" t="s">
        <v>806</v>
      </c>
      <c r="B116" s="5">
        <f>_xlfn.SUMIFS(Sheet1!D:D,Sheet1!G:G,A116)</f>
        <v>399.0</v>
      </c>
      <c r="C116" s="5">
        <f>_xlfn.SUMIFS(Sheet1!E:E,Sheet1!G:G,A116)</f>
        <v>1.0</v>
      </c>
      <c r="D116" s="5">
        <f>B116-B115</f>
        <v>-125.0</v>
      </c>
      <c r="E116" s="5">
        <f>IF(B115=0,0,(B116-B115)/B115)</f>
        <v>-0.2385496183206107</v>
      </c>
      <c r="F116" s="5" t="str">
        <f>IF(B116&gt;=1.5*B115,"YES","")</f>
        <v/>
      </c>
    </row>
    <row r="117" spans="8:8" ht="15.1">
      <c r="A117" s="6" t="s">
        <v>813</v>
      </c>
      <c r="B117" s="5">
        <f>_xlfn.SUMIFS(Sheet1!D:D,Sheet1!G:G,A117)</f>
        <v>259.0</v>
      </c>
      <c r="C117" s="5">
        <f>_xlfn.SUMIFS(Sheet1!E:E,Sheet1!G:G,A117)</f>
        <v>1.0</v>
      </c>
      <c r="D117" s="5">
        <f>B117-B116</f>
        <v>-140.0</v>
      </c>
      <c r="E117" s="5">
        <f>IF(B116=0,0,(B117-B116)/B116)</f>
        <v>-0.3508771929824561</v>
      </c>
      <c r="F117" s="5" t="str">
        <f>IF(B117&gt;=1.5*B116,"YES","")</f>
        <v/>
      </c>
    </row>
    <row r="118" spans="8:8" ht="15.1">
      <c r="A118" s="6" t="s">
        <v>820</v>
      </c>
      <c r="B118" s="5">
        <f>_xlfn.SUMIFS(Sheet1!D:D,Sheet1!G:G,A118)</f>
        <v>278.0</v>
      </c>
      <c r="C118" s="5">
        <f>_xlfn.SUMIFS(Sheet1!E:E,Sheet1!G:G,A118)</f>
        <v>3.0</v>
      </c>
      <c r="D118" s="5">
        <f>B118-B117</f>
        <v>19.0</v>
      </c>
      <c r="E118" s="5">
        <f>IF(B117=0,0,(B118-B117)/B117)</f>
        <v>0.07335907335907337</v>
      </c>
      <c r="F118" s="5" t="str">
        <f>IF(B118&gt;=1.5*B117,"YES","")</f>
        <v/>
      </c>
    </row>
    <row r="119" spans="8:8" ht="15.1">
      <c r="A119" s="6" t="s">
        <v>827</v>
      </c>
      <c r="B119" s="5">
        <f>_xlfn.SUMIFS(Sheet1!D:D,Sheet1!G:G,A119)</f>
        <v>185.0</v>
      </c>
      <c r="C119" s="5">
        <f>_xlfn.SUMIFS(Sheet1!E:E,Sheet1!G:G,A119)</f>
        <v>0.0</v>
      </c>
      <c r="D119" s="5">
        <f>B119-B118</f>
        <v>-93.0</v>
      </c>
      <c r="E119" s="5">
        <f>IF(B118=0,0,(B119-B118)/B118)</f>
        <v>-0.3345323741007194</v>
      </c>
      <c r="F119" s="5" t="str">
        <f>IF(B119&gt;=1.5*B118,"YES","")</f>
        <v/>
      </c>
    </row>
    <row r="120" spans="8:8" ht="15.1">
      <c r="A120" s="6" t="s">
        <v>834</v>
      </c>
      <c r="B120" s="5">
        <f>_xlfn.SUMIFS(Sheet1!D:D,Sheet1!G:G,A120)</f>
        <v>118.0</v>
      </c>
      <c r="C120" s="5">
        <f>_xlfn.SUMIFS(Sheet1!E:E,Sheet1!G:G,A120)</f>
        <v>0.0</v>
      </c>
      <c r="D120" s="5">
        <f>B120-B119</f>
        <v>-67.0</v>
      </c>
      <c r="E120" s="5">
        <f>IF(B119=0,0,(B120-B119)/B119)</f>
        <v>-0.3621621621621622</v>
      </c>
      <c r="F120" s="5" t="str">
        <f>IF(B120&gt;=1.5*B119,"YES","")</f>
        <v/>
      </c>
    </row>
    <row r="121" spans="8:8" ht="15.1">
      <c r="A121" s="6" t="s">
        <v>841</v>
      </c>
      <c r="B121" s="5">
        <f>_xlfn.SUMIFS(Sheet1!D:D,Sheet1!G:G,A121)</f>
        <v>145.0</v>
      </c>
      <c r="C121" s="5">
        <f>_xlfn.SUMIFS(Sheet1!E:E,Sheet1!G:G,A121)</f>
        <v>0.0</v>
      </c>
      <c r="D121" s="5">
        <f>B121-B120</f>
        <v>27.0</v>
      </c>
      <c r="E121" s="5">
        <f>IF(B120=0,0,(B121-B120)/B120)</f>
        <v>0.2288135593220339</v>
      </c>
      <c r="F121" s="5" t="str">
        <f>IF(B121&gt;=1.5*B120,"YES","")</f>
        <v/>
      </c>
    </row>
    <row r="122" spans="8:8" ht="15.1">
      <c r="A122" s="6" t="s">
        <v>848</v>
      </c>
      <c r="B122" s="5">
        <f>_xlfn.SUMIFS(Sheet1!D:D,Sheet1!G:G,A122)</f>
        <v>215.0</v>
      </c>
      <c r="C122" s="5">
        <f>_xlfn.SUMIFS(Sheet1!E:E,Sheet1!G:G,A122)</f>
        <v>0.0</v>
      </c>
      <c r="D122" s="5">
        <f>B122-B121</f>
        <v>70.0</v>
      </c>
      <c r="E122" s="5">
        <f>IF(B121=0,0,(B122-B121)/B121)</f>
        <v>0.4827586206896552</v>
      </c>
      <c r="F122" s="5" t="str">
        <f>IF(B122&gt;=1.5*B121,"YES","")</f>
        <v/>
      </c>
    </row>
    <row r="123" spans="8:8" ht="15.1">
      <c r="A123" s="6" t="s">
        <v>855</v>
      </c>
      <c r="B123" s="5">
        <f>_xlfn.SUMIFS(Sheet1!D:D,Sheet1!G:G,A123)</f>
        <v>225.0</v>
      </c>
      <c r="C123" s="5">
        <f>_xlfn.SUMIFS(Sheet1!E:E,Sheet1!G:G,A123)</f>
        <v>3.0</v>
      </c>
      <c r="D123" s="5">
        <f>B123-B122</f>
        <v>10.0</v>
      </c>
      <c r="E123" s="5">
        <f>IF(B122=0,0,(B123-B122)/B122)</f>
        <v>0.046511627906976744</v>
      </c>
      <c r="F123" s="5" t="str">
        <f>IF(B123&gt;=1.5*B122,"YES","")</f>
        <v/>
      </c>
    </row>
    <row r="124" spans="8:8" ht="15.1">
      <c r="A124" s="6" t="s">
        <v>862</v>
      </c>
      <c r="B124" s="5">
        <f>_xlfn.SUMIFS(Sheet1!D:D,Sheet1!G:G,A124)</f>
        <v>213.0</v>
      </c>
      <c r="C124" s="5">
        <f>_xlfn.SUMIFS(Sheet1!E:E,Sheet1!G:G,A124)</f>
        <v>1.0</v>
      </c>
      <c r="D124" s="5">
        <f>B124-B123</f>
        <v>-12.0</v>
      </c>
      <c r="E124" s="5">
        <f>IF(B123=0,0,(B124-B123)/B123)</f>
        <v>-0.05333333333333334</v>
      </c>
      <c r="F124" s="5" t="str">
        <f>IF(B124&gt;=1.5*B123,"YES","")</f>
        <v/>
      </c>
    </row>
    <row r="125" spans="8:8" ht="15.1">
      <c r="A125" s="6" t="s">
        <v>869</v>
      </c>
      <c r="B125" s="5">
        <f>_xlfn.SUMIFS(Sheet1!D:D,Sheet1!G:G,A125)</f>
        <v>271.0</v>
      </c>
      <c r="C125" s="5">
        <f>_xlfn.SUMIFS(Sheet1!E:E,Sheet1!G:G,A125)</f>
        <v>0.0</v>
      </c>
      <c r="D125" s="5">
        <f>B125-B124</f>
        <v>58.0</v>
      </c>
      <c r="E125" s="5">
        <f>IF(B124=0,0,(B125-B124)/B124)</f>
        <v>0.27230046948356806</v>
      </c>
      <c r="F125" s="5" t="str">
        <f>IF(B125&gt;=1.5*B124,"YES","")</f>
        <v/>
      </c>
    </row>
    <row r="126" spans="8:8" ht="15.1">
      <c r="A126" s="6" t="s">
        <v>876</v>
      </c>
      <c r="B126" s="5">
        <f>_xlfn.SUMIFS(Sheet1!D:D,Sheet1!G:G,A126)</f>
        <v>825.0</v>
      </c>
      <c r="C126" s="5">
        <f>_xlfn.SUMIFS(Sheet1!E:E,Sheet1!G:G,A126)</f>
        <v>0.0</v>
      </c>
      <c r="D126" s="5">
        <f>B126-B125</f>
        <v>554.0</v>
      </c>
      <c r="E126" s="5">
        <f>IF(B125=0,0,(B126-B125)/B125)</f>
        <v>2.044280442804428</v>
      </c>
      <c r="F126" s="5" t="str">
        <f>IF(B126&gt;=1.5*B125,"YES","")</f>
        <v>YES</v>
      </c>
    </row>
    <row r="127" spans="8:8" ht="15.1">
      <c r="A127" s="6" t="s">
        <v>883</v>
      </c>
      <c r="B127" s="5">
        <f>_xlfn.SUMIFS(Sheet1!D:D,Sheet1!G:G,A127)</f>
        <v>4572.0</v>
      </c>
      <c r="C127" s="5">
        <f>_xlfn.SUMIFS(Sheet1!E:E,Sheet1!G:G,A127)</f>
        <v>3.0</v>
      </c>
      <c r="D127" s="5">
        <f>B127-B126</f>
        <v>3747.0</v>
      </c>
      <c r="E127" s="5">
        <f>IF(B126=0,0,(B127-B126)/B126)</f>
        <v>4.541818181818182</v>
      </c>
      <c r="F127" s="5" t="str">
        <f>IF(B127&gt;=1.5*B126,"YES","")</f>
        <v>YES</v>
      </c>
    </row>
    <row r="128" spans="8:8" ht="15.1">
      <c r="A128" s="6" t="s">
        <v>890</v>
      </c>
      <c r="B128" s="5">
        <f>_xlfn.SUMIFS(Sheet1!D:D,Sheet1!G:G,A128)</f>
        <v>12393.0</v>
      </c>
      <c r="C128" s="5">
        <f>_xlfn.SUMIFS(Sheet1!E:E,Sheet1!G:G,A128)</f>
        <v>11.0</v>
      </c>
      <c r="D128" s="5">
        <f>B128-B127</f>
        <v>7821.0</v>
      </c>
      <c r="E128" s="5">
        <f>IF(B127=0,0,(B128-B127)/B127)</f>
        <v>1.7106299212598426</v>
      </c>
      <c r="F128" s="5" t="str">
        <f>IF(B128&gt;=1.5*B127,"YES","")</f>
        <v>YES</v>
      </c>
    </row>
    <row r="129" spans="8:8" ht="15.1">
      <c r="A129" s="6" t="s">
        <v>897</v>
      </c>
      <c r="B129" s="5">
        <f>_xlfn.SUMIFS(Sheet1!D:D,Sheet1!G:G,A129)</f>
        <v>13098.0</v>
      </c>
      <c r="C129" s="5">
        <f>_xlfn.SUMIFS(Sheet1!E:E,Sheet1!G:G,A129)</f>
        <v>40.0</v>
      </c>
      <c r="D129" s="5">
        <f>B129-B128</f>
        <v>705.0</v>
      </c>
      <c r="E129" s="5">
        <f>IF(B128=0,0,(B129-B128)/B128)</f>
        <v>0.05688695231178891</v>
      </c>
      <c r="F129" s="5" t="str">
        <f>IF(B129&gt;=1.5*B128,"YES","")</f>
        <v/>
      </c>
    </row>
    <row r="130" spans="8:8" ht="15.1">
      <c r="A130" s="6" t="s">
        <v>904</v>
      </c>
      <c r="B130" s="5">
        <f>_xlfn.SUMIFS(Sheet1!D:D,Sheet1!G:G,A130)</f>
        <v>7358.0</v>
      </c>
      <c r="C130" s="5">
        <f>_xlfn.SUMIFS(Sheet1!E:E,Sheet1!G:G,A130)</f>
        <v>32.0</v>
      </c>
      <c r="D130" s="5">
        <f>B130-B129</f>
        <v>-5740.0</v>
      </c>
      <c r="E130" s="5">
        <f>IF(B129=0,0,(B130-B129)/B129)</f>
        <v>-0.43823484501450605</v>
      </c>
      <c r="F130" s="5" t="str">
        <f>IF(B130&gt;=1.5*B129,"YES","")</f>
        <v/>
      </c>
    </row>
    <row r="131" spans="8:8" ht="15.1">
      <c r="A131" s="6" t="s">
        <v>911</v>
      </c>
      <c r="B131" s="5">
        <f>_xlfn.SUMIFS(Sheet1!D:D,Sheet1!G:G,A131)</f>
        <v>7337.0</v>
      </c>
      <c r="C131" s="5">
        <f>_xlfn.SUMIFS(Sheet1!E:E,Sheet1!G:G,A131)</f>
        <v>33.0</v>
      </c>
      <c r="D131" s="5">
        <f>B131-B130</f>
        <v>-21.0</v>
      </c>
      <c r="E131" s="5">
        <f>IF(B130=0,0,(B131-B130)/B130)</f>
        <v>-0.0028540364229410167</v>
      </c>
      <c r="F131" s="5" t="str">
        <f>IF(B131&gt;=1.5*B130,"YES","")</f>
        <v/>
      </c>
    </row>
    <row r="132" spans="8:8" ht="15.1">
      <c r="A132" s="6" t="s">
        <v>918</v>
      </c>
      <c r="B132" s="5">
        <f>_xlfn.SUMIFS(Sheet1!D:D,Sheet1!G:G,A132)</f>
        <v>4175.0</v>
      </c>
      <c r="C132" s="5">
        <f>_xlfn.SUMIFS(Sheet1!E:E,Sheet1!G:G,A132)</f>
        <v>30.0</v>
      </c>
      <c r="D132" s="5">
        <f>B132-B131</f>
        <v>-3162.0</v>
      </c>
      <c r="E132" s="5">
        <f>IF(B131=0,0,(B132-B131)/B131)</f>
        <v>-0.43096633501431103</v>
      </c>
      <c r="F132" s="5" t="str">
        <f>IF(B132&gt;=1.5*B131,"YES","")</f>
        <v/>
      </c>
    </row>
    <row r="133" spans="8:8" ht="15.1">
      <c r="A133" s="6" t="s">
        <v>925</v>
      </c>
      <c r="B133" s="5">
        <f>_xlfn.SUMIFS(Sheet1!D:D,Sheet1!G:G,A133)</f>
        <v>2798.0</v>
      </c>
      <c r="C133" s="5">
        <f>_xlfn.SUMIFS(Sheet1!E:E,Sheet1!G:G,A133)</f>
        <v>18.0</v>
      </c>
      <c r="D133" s="5">
        <f>B133-B132</f>
        <v>-1377.0</v>
      </c>
      <c r="E133" s="5">
        <f>IF(B132=0,0,(B133-B132)/B132)</f>
        <v>-0.3298203592814371</v>
      </c>
      <c r="F133" s="5" t="str">
        <f>IF(B133&gt;=1.5*B132,"YES","")</f>
        <v/>
      </c>
    </row>
    <row r="134" spans="8:8" ht="15.1">
      <c r="A134" s="6" t="s">
        <v>932</v>
      </c>
      <c r="B134" s="5">
        <f>_xlfn.SUMIFS(Sheet1!D:D,Sheet1!G:G,A134)</f>
        <v>1700.0</v>
      </c>
      <c r="C134" s="5">
        <f>_xlfn.SUMIFS(Sheet1!E:E,Sheet1!G:G,A134)</f>
        <v>11.0</v>
      </c>
      <c r="D134" s="5">
        <f>B134-B133</f>
        <v>-1098.0</v>
      </c>
      <c r="E134" s="5">
        <f>IF(B133=0,0,(B134-B133)/B133)</f>
        <v>-0.3924231593995711</v>
      </c>
      <c r="F134" s="5" t="str">
        <f>IF(B134&gt;=1.5*B133,"YES","")</f>
        <v/>
      </c>
    </row>
    <row r="135" spans="8:8" ht="15.1">
      <c r="A135" s="6" t="s">
        <v>939</v>
      </c>
      <c r="B135" s="5">
        <f>_xlfn.SUMIFS(Sheet1!D:D,Sheet1!G:G,A135)</f>
        <v>1366.0</v>
      </c>
      <c r="C135" s="5">
        <f>_xlfn.SUMIFS(Sheet1!E:E,Sheet1!G:G,A135)</f>
        <v>5.0</v>
      </c>
      <c r="D135" s="5">
        <f>B135-B134</f>
        <v>-334.0</v>
      </c>
      <c r="E135" s="5">
        <f>IF(B134=0,0,(B135-B134)/B134)</f>
        <v>-0.19647058823529412</v>
      </c>
      <c r="F135" s="5" t="str">
        <f>IF(B135&gt;=1.5*B134,"YES","")</f>
        <v/>
      </c>
    </row>
    <row r="136" spans="8:8" ht="15.1">
      <c r="A136" s="6" t="s">
        <v>946</v>
      </c>
      <c r="B136" s="5">
        <f>_xlfn.SUMIFS(Sheet1!D:D,Sheet1!G:G,A136)</f>
        <v>1056.0</v>
      </c>
      <c r="C136" s="5">
        <f>_xlfn.SUMIFS(Sheet1!E:E,Sheet1!G:G,A136)</f>
        <v>5.0</v>
      </c>
      <c r="D136" s="5">
        <f>B136-B135</f>
        <v>-310.0</v>
      </c>
      <c r="E136" s="5">
        <f>IF(B135=0,0,(B136-B135)/B135)</f>
        <v>-0.22693997071742314</v>
      </c>
      <c r="F136" s="5" t="str">
        <f>IF(B136&gt;=1.5*B135,"YES","")</f>
        <v/>
      </c>
    </row>
    <row r="137" spans="8:8" ht="15.1">
      <c r="A137" s="6" t="s">
        <v>953</v>
      </c>
      <c r="B137" s="5">
        <f>_xlfn.SUMIFS(Sheet1!D:D,Sheet1!G:G,A137)</f>
        <v>1456.0</v>
      </c>
      <c r="C137" s="5">
        <f>_xlfn.SUMIFS(Sheet1!E:E,Sheet1!G:G,A137)</f>
        <v>4.0</v>
      </c>
      <c r="D137" s="5">
        <f>B137-B136</f>
        <v>400.0</v>
      </c>
      <c r="E137" s="5">
        <f>IF(B136=0,0,(B137-B136)/B136)</f>
        <v>0.3787878787878788</v>
      </c>
      <c r="F137" s="5" t="str">
        <f>IF(B137&gt;=1.5*B136,"YES","")</f>
        <v/>
      </c>
    </row>
    <row r="138" spans="8:8" ht="15.1">
      <c r="A138" s="6" t="s">
        <v>960</v>
      </c>
      <c r="B138" s="5">
        <f>_xlfn.SUMIFS(Sheet1!D:D,Sheet1!G:G,A138)</f>
        <v>1743.0</v>
      </c>
      <c r="C138" s="5">
        <f>_xlfn.SUMIFS(Sheet1!E:E,Sheet1!G:G,A138)</f>
        <v>6.0</v>
      </c>
      <c r="D138" s="5">
        <f>B138-B137</f>
        <v>287.0</v>
      </c>
      <c r="E138" s="5">
        <f>IF(B137=0,0,(B138-B137)/B137)</f>
        <v>0.1971153846153846</v>
      </c>
      <c r="F138" s="5" t="str">
        <f>IF(B138&gt;=1.5*B137,"YES","")</f>
        <v/>
      </c>
    </row>
    <row r="139" spans="8:8" ht="15.1">
      <c r="A139" s="6" t="s">
        <v>967</v>
      </c>
      <c r="B139" s="5">
        <f>_xlfn.SUMIFS(Sheet1!D:D,Sheet1!G:G,A139)</f>
        <v>2456.0</v>
      </c>
      <c r="C139" s="5">
        <f>_xlfn.SUMIFS(Sheet1!E:E,Sheet1!G:G,A139)</f>
        <v>7.0</v>
      </c>
      <c r="D139" s="5">
        <f>B139-B138</f>
        <v>713.0</v>
      </c>
      <c r="E139" s="5">
        <f>IF(B138=0,0,(B139-B138)/B138)</f>
        <v>0.40906483075157773</v>
      </c>
      <c r="F139" s="5" t="str">
        <f>IF(B139&gt;=1.5*B138,"YES","")</f>
        <v/>
      </c>
    </row>
    <row r="140" spans="8:8" ht="15.1">
      <c r="A140" s="6" t="s">
        <v>974</v>
      </c>
      <c r="B140" s="5">
        <f>_xlfn.SUMIFS(Sheet1!D:D,Sheet1!G:G,A140)</f>
        <v>3325.0</v>
      </c>
      <c r="C140" s="5">
        <f>_xlfn.SUMIFS(Sheet1!E:E,Sheet1!G:G,A140)</f>
        <v>9.0</v>
      </c>
      <c r="D140" s="5">
        <f>B140-B139</f>
        <v>869.0</v>
      </c>
      <c r="E140" s="5">
        <f>IF(B139=0,0,(B140-B139)/B139)</f>
        <v>0.3538273615635179</v>
      </c>
      <c r="F140" s="5" t="str">
        <f>IF(B140&gt;=1.5*B139,"YES","")</f>
        <v/>
      </c>
    </row>
    <row r="141" spans="8:8" ht="15.1">
      <c r="A141" s="6" t="s">
        <v>981</v>
      </c>
      <c r="B141" s="5">
        <f>_xlfn.SUMIFS(Sheet1!D:D,Sheet1!G:G,A141)</f>
        <v>4340.0</v>
      </c>
      <c r="C141" s="5">
        <f>_xlfn.SUMIFS(Sheet1!E:E,Sheet1!G:G,A141)</f>
        <v>15.0</v>
      </c>
      <c r="D141" s="5">
        <f>B141-B140</f>
        <v>1015.0</v>
      </c>
      <c r="E141" s="5">
        <f>IF(B140=0,0,(B141-B140)/B140)</f>
        <v>0.30526315789473685</v>
      </c>
      <c r="F141" s="5" t="str">
        <f>IF(B141&gt;=1.5*B140,"YES","")</f>
        <v/>
      </c>
    </row>
    <row r="142" spans="8:8" ht="15.1">
      <c r="A142" s="6" t="s">
        <v>988</v>
      </c>
      <c r="B142" s="5">
        <f>_xlfn.SUMIFS(Sheet1!D:D,Sheet1!G:G,A142)</f>
        <v>4304.0</v>
      </c>
      <c r="C142" s="5">
        <f>_xlfn.SUMIFS(Sheet1!E:E,Sheet1!G:G,A142)</f>
        <v>14.0</v>
      </c>
      <c r="D142" s="5">
        <f>B142-B141</f>
        <v>-36.0</v>
      </c>
      <c r="E142" s="5">
        <f>IF(B141=0,0,(B142-B141)/B141)</f>
        <v>-0.008294930875576038</v>
      </c>
      <c r="F142" s="5" t="str">
        <f>IF(B142&gt;=1.5*B141,"YES","")</f>
        <v/>
      </c>
    </row>
    <row r="143" spans="8:8" ht="15.1">
      <c r="A143" s="6" t="s">
        <v>995</v>
      </c>
      <c r="B143" s="5">
        <f>_xlfn.SUMIFS(Sheet1!D:D,Sheet1!G:G,A143)</f>
        <v>2892.0</v>
      </c>
      <c r="C143" s="5">
        <f>_xlfn.SUMIFS(Sheet1!E:E,Sheet1!G:G,A143)</f>
        <v>14.0</v>
      </c>
      <c r="D143" s="5">
        <f>B143-B142</f>
        <v>-1412.0</v>
      </c>
      <c r="E143" s="5">
        <f>IF(B142=0,0,(B143-B142)/B142)</f>
        <v>-0.32806691449814124</v>
      </c>
      <c r="F143" s="5" t="str">
        <f>IF(B143&gt;=1.5*B142,"YES","")</f>
        <v/>
      </c>
    </row>
    <row r="144" spans="8:8" ht="15.1">
      <c r="A144" s="6" t="s">
        <v>1002</v>
      </c>
      <c r="B144" s="5">
        <f>_xlfn.SUMIFS(Sheet1!D:D,Sheet1!G:G,A144)</f>
        <v>2413.0</v>
      </c>
      <c r="C144" s="5">
        <f>_xlfn.SUMIFS(Sheet1!E:E,Sheet1!G:G,A144)</f>
        <v>22.0</v>
      </c>
      <c r="D144" s="5">
        <f>B144-B143</f>
        <v>-479.0</v>
      </c>
      <c r="E144" s="5">
        <f>IF(B143=0,0,(B144-B143)/B143)</f>
        <v>-0.1656293222683264</v>
      </c>
      <c r="F144" s="5" t="str">
        <f>IF(B144&gt;=1.5*B143,"YES","")</f>
        <v/>
      </c>
    </row>
    <row r="145" spans="8:8" ht="15.1">
      <c r="A145" s="6" t="s">
        <v>1009</v>
      </c>
      <c r="B145" s="5">
        <f>_xlfn.SUMIFS(Sheet1!D:D,Sheet1!G:G,A145)</f>
        <v>1310.0</v>
      </c>
      <c r="C145" s="5">
        <f>_xlfn.SUMIFS(Sheet1!E:E,Sheet1!G:G,A145)</f>
        <v>6.0</v>
      </c>
      <c r="D145" s="5">
        <f>B145-B144</f>
        <v>-1103.0</v>
      </c>
      <c r="E145" s="5">
        <f>IF(B144=0,0,(B145-B144)/B144)</f>
        <v>-0.45710733526730213</v>
      </c>
      <c r="F145" s="5" t="str">
        <f>IF(B145&gt;=1.5*B144,"YES","")</f>
        <v/>
      </c>
    </row>
    <row r="146" spans="8:8" ht="15.1">
      <c r="A146" s="6" t="s">
        <v>1016</v>
      </c>
      <c r="B146" s="5">
        <f>_xlfn.SUMIFS(Sheet1!D:D,Sheet1!G:G,A146)</f>
        <v>788.0</v>
      </c>
      <c r="C146" s="5">
        <f>_xlfn.SUMIFS(Sheet1!E:E,Sheet1!G:G,A146)</f>
        <v>8.0</v>
      </c>
      <c r="D146" s="5">
        <f>B146-B145</f>
        <v>-522.0</v>
      </c>
      <c r="E146" s="5">
        <f>IF(B145=0,0,(B146-B145)/B145)</f>
        <v>-0.3984732824427481</v>
      </c>
      <c r="F146" s="5" t="str">
        <f>IF(B146&gt;=1.5*B145,"YES","")</f>
        <v/>
      </c>
    </row>
    <row r="147" spans="8:8" ht="15.1">
      <c r="A147" s="6" t="s">
        <v>1023</v>
      </c>
      <c r="B147" s="5">
        <f>_xlfn.SUMIFS(Sheet1!D:D,Sheet1!G:G,A147)</f>
        <v>475.0</v>
      </c>
      <c r="C147" s="5">
        <f>_xlfn.SUMIFS(Sheet1!E:E,Sheet1!G:G,A147)</f>
        <v>2.0</v>
      </c>
      <c r="D147" s="5">
        <f>B147-B146</f>
        <v>-313.0</v>
      </c>
      <c r="E147" s="5">
        <f>IF(B146=0,0,(B147-B146)/B146)</f>
        <v>-0.39720812182741116</v>
      </c>
      <c r="F147" s="5" t="str">
        <f>IF(B147&gt;=1.5*B146,"YES","")</f>
        <v/>
      </c>
    </row>
    <row r="148" spans="8:8" ht="15.1">
      <c r="A148" s="6" t="s">
        <v>1030</v>
      </c>
      <c r="B148" s="5">
        <f>_xlfn.SUMIFS(Sheet1!D:D,Sheet1!G:G,A148)</f>
        <v>276.0</v>
      </c>
      <c r="C148" s="5">
        <f>_xlfn.SUMIFS(Sheet1!E:E,Sheet1!G:G,A148)</f>
        <v>4.0</v>
      </c>
      <c r="D148" s="5">
        <f>B148-B147</f>
        <v>-199.0</v>
      </c>
      <c r="E148" s="5">
        <f>IF(B147=0,0,(B148-B147)/B147)</f>
        <v>-0.4189473684210526</v>
      </c>
      <c r="F148" s="5" t="str">
        <f>IF(B148&gt;=1.5*B147,"YES","")</f>
        <v/>
      </c>
    </row>
    <row r="149" spans="8:8" ht="15.1">
      <c r="A149" s="6" t="s">
        <v>1037</v>
      </c>
      <c r="B149" s="5">
        <f>_xlfn.SUMIFS(Sheet1!D:D,Sheet1!G:G,A149)</f>
        <v>181.0</v>
      </c>
      <c r="C149" s="5">
        <f>_xlfn.SUMIFS(Sheet1!E:E,Sheet1!G:G,A149)</f>
        <v>1.0</v>
      </c>
      <c r="D149" s="5">
        <f>B149-B148</f>
        <v>-95.0</v>
      </c>
      <c r="E149" s="5">
        <f>IF(B148=0,0,(B149-B148)/B148)</f>
        <v>-0.3442028985507246</v>
      </c>
      <c r="F149" s="5" t="str">
        <f>IF(B149&gt;=1.5*B148,"YES","")</f>
        <v/>
      </c>
    </row>
    <row r="150" spans="8:8" ht="15.1">
      <c r="A150" s="6" t="s">
        <v>1044</v>
      </c>
      <c r="B150" s="5">
        <f>_xlfn.SUMIFS(Sheet1!D:D,Sheet1!G:G,A150)</f>
        <v>136.0</v>
      </c>
      <c r="C150" s="5">
        <f>_xlfn.SUMIFS(Sheet1!E:E,Sheet1!G:G,A150)</f>
        <v>2.0</v>
      </c>
      <c r="D150" s="5">
        <f>B150-B149</f>
        <v>-45.0</v>
      </c>
      <c r="E150" s="5">
        <f>IF(B149=0,0,(B150-B149)/B149)</f>
        <v>-0.24861878453038674</v>
      </c>
      <c r="F150" s="5" t="str">
        <f>IF(B150&gt;=1.5*B149,"YES","")</f>
        <v/>
      </c>
    </row>
    <row r="151" spans="8:8" ht="15.1">
      <c r="A151" s="6" t="s">
        <v>1051</v>
      </c>
      <c r="B151" s="5">
        <f>_xlfn.SUMIFS(Sheet1!D:D,Sheet1!G:G,A151)</f>
        <v>132.0</v>
      </c>
      <c r="C151" s="5">
        <f>_xlfn.SUMIFS(Sheet1!E:E,Sheet1!G:G,A151)</f>
        <v>3.0</v>
      </c>
      <c r="D151" s="5">
        <f>B151-B150</f>
        <v>-4.0</v>
      </c>
      <c r="E151" s="5">
        <f>IF(B150=0,0,(B151-B150)/B150)</f>
        <v>-0.029411764705882353</v>
      </c>
      <c r="F151" s="5" t="str">
        <f>IF(B151&gt;=1.5*B150,"YES","")</f>
        <v/>
      </c>
    </row>
    <row r="152" spans="8:8" ht="15.1">
      <c r="A152" s="6" t="s">
        <v>1058</v>
      </c>
      <c r="B152" s="5">
        <f>_xlfn.SUMIFS(Sheet1!D:D,Sheet1!G:G,A152)</f>
        <v>149.0</v>
      </c>
      <c r="C152" s="5">
        <f>_xlfn.SUMIFS(Sheet1!E:E,Sheet1!G:G,A152)</f>
        <v>1.0</v>
      </c>
      <c r="D152" s="5">
        <f>B152-B151</f>
        <v>17.0</v>
      </c>
      <c r="E152" s="5">
        <f>IF(B151=0,0,(B152-B151)/B151)</f>
        <v>0.12878787878787878</v>
      </c>
      <c r="F152" s="5" t="str">
        <f>IF(B152&gt;=1.5*B151,"YES","")</f>
        <v/>
      </c>
    </row>
    <row r="153" spans="8:8" ht="15.1">
      <c r="A153" s="6" t="s">
        <v>1065</v>
      </c>
      <c r="B153" s="5">
        <f>_xlfn.SUMIFS(Sheet1!D:D,Sheet1!G:G,A153)</f>
        <v>121.0</v>
      </c>
      <c r="C153" s="5">
        <f>_xlfn.SUMIFS(Sheet1!E:E,Sheet1!G:G,A153)</f>
        <v>1.0</v>
      </c>
      <c r="D153" s="5">
        <f>B153-B152</f>
        <v>-28.0</v>
      </c>
      <c r="E153" s="5">
        <f>IF(B152=0,0,(B153-B152)/B152)</f>
        <v>-0.18791946308724833</v>
      </c>
      <c r="F153" s="5" t="str">
        <f>IF(B153&gt;=1.5*B152,"YES","")</f>
        <v/>
      </c>
    </row>
    <row r="154" spans="8:8" ht="15.1">
      <c r="A154" s="6" t="s">
        <v>1072</v>
      </c>
      <c r="B154" s="5">
        <f>_xlfn.SUMIFS(Sheet1!D:D,Sheet1!G:G,A154)</f>
        <v>80.0</v>
      </c>
      <c r="C154" s="5">
        <f>_xlfn.SUMIFS(Sheet1!E:E,Sheet1!G:G,A154)</f>
        <v>1.0</v>
      </c>
      <c r="D154" s="5">
        <f>B154-B153</f>
        <v>-41.0</v>
      </c>
      <c r="E154" s="5">
        <f>IF(B153=0,0,(B154-B153)/B153)</f>
        <v>-0.33884297520661155</v>
      </c>
      <c r="F154" s="5" t="str">
        <f>IF(B154&gt;=1.5*B153,"YES","")</f>
        <v/>
      </c>
    </row>
    <row r="155" spans="8:8" ht="15.1">
      <c r="A155" s="6" t="s">
        <v>1079</v>
      </c>
      <c r="B155" s="5">
        <f>_xlfn.SUMIFS(Sheet1!D:D,Sheet1!G:G,A155)</f>
        <v>141.0</v>
      </c>
      <c r="C155" s="5">
        <f>_xlfn.SUMIFS(Sheet1!E:E,Sheet1!G:G,A155)</f>
        <v>1.0</v>
      </c>
      <c r="D155" s="5">
        <f>B155-B154</f>
        <v>61.0</v>
      </c>
      <c r="E155" s="5">
        <f>IF(B154=0,0,(B155-B154)/B154)</f>
        <v>0.7625</v>
      </c>
      <c r="F155" s="5" t="str">
        <f>IF(B155&gt;=1.5*B154,"YES","")</f>
        <v>YES</v>
      </c>
    </row>
    <row r="156" spans="8:8" ht="15.1">
      <c r="A156" s="6" t="s">
        <v>1086</v>
      </c>
      <c r="B156" s="5">
        <f>_xlfn.SUMIFS(Sheet1!D:D,Sheet1!G:G,A156)</f>
        <v>119.0</v>
      </c>
      <c r="C156" s="5">
        <f>_xlfn.SUMIFS(Sheet1!E:E,Sheet1!G:G,A156)</f>
        <v>1.0</v>
      </c>
      <c r="D156" s="5">
        <f>B156-B155</f>
        <v>-22.0</v>
      </c>
      <c r="E156" s="5">
        <f>IF(B155=0,0,(B156-B155)/B155)</f>
        <v>-0.15602836879432624</v>
      </c>
      <c r="F156" s="5" t="str">
        <f>IF(B156&gt;=1.5*B155,"YES","")</f>
        <v/>
      </c>
    </row>
    <row r="157" spans="8:8" ht="15.1">
      <c r="A157" s="6" t="s">
        <v>1093</v>
      </c>
      <c r="B157" s="5">
        <f>_xlfn.SUMIFS(Sheet1!D:D,Sheet1!G:G,A157)</f>
        <v>72.0</v>
      </c>
      <c r="C157" s="5">
        <f>_xlfn.SUMIFS(Sheet1!E:E,Sheet1!G:G,A157)</f>
        <v>0.0</v>
      </c>
      <c r="D157" s="5">
        <f>B157-B156</f>
        <v>-47.0</v>
      </c>
      <c r="E157" s="5">
        <f>IF(B156=0,0,(B157-B156)/B156)</f>
        <v>-0.3949579831932773</v>
      </c>
      <c r="F157" s="5" t="str">
        <f>IF(B157&gt;=1.5*B156,"YES","")</f>
        <v/>
      </c>
    </row>
    <row r="158" spans="8:8" ht="15.1">
      <c r="A158" s="6" t="s">
        <v>1100</v>
      </c>
      <c r="B158" s="5">
        <f>_xlfn.SUMIFS(Sheet1!D:D,Sheet1!G:G,A158)</f>
        <v>79.0</v>
      </c>
      <c r="C158" s="5">
        <f>_xlfn.SUMIFS(Sheet1!E:E,Sheet1!G:G,A158)</f>
        <v>0.0</v>
      </c>
      <c r="D158" s="5">
        <f>B158-B157</f>
        <v>7.0</v>
      </c>
      <c r="E158" s="5">
        <f>IF(B157=0,0,(B158-B157)/B157)</f>
        <v>0.09722222222222222</v>
      </c>
      <c r="F158" s="5" t="str">
        <f>IF(B158&gt;=1.5*B157,"YES","")</f>
        <v/>
      </c>
    </row>
    <row r="159" spans="8:8" ht="15.1">
      <c r="A159" s="6" t="s">
        <v>1107</v>
      </c>
      <c r="B159" s="5">
        <f>_xlfn.SUMIFS(Sheet1!D:D,Sheet1!G:G,A159)</f>
        <v>90.0</v>
      </c>
      <c r="C159" s="5">
        <f>_xlfn.SUMIFS(Sheet1!E:E,Sheet1!G:G,A159)</f>
        <v>1.0</v>
      </c>
      <c r="D159" s="5">
        <f>B159-B158</f>
        <v>11.0</v>
      </c>
      <c r="E159" s="5">
        <f>IF(B158=0,0,(B159-B158)/B158)</f>
        <v>0.13924050632911392</v>
      </c>
      <c r="F159" s="5" t="str">
        <f>IF(B159&gt;=1.5*B158,"YES","")</f>
        <v/>
      </c>
    </row>
    <row r="160" spans="8:8" ht="15.1">
      <c r="A160" s="6" t="s">
        <v>1114</v>
      </c>
      <c r="B160" s="5">
        <f>_xlfn.SUMIFS(Sheet1!D:D,Sheet1!G:G,A160)</f>
        <v>79.0</v>
      </c>
      <c r="C160" s="5">
        <f>_xlfn.SUMIFS(Sheet1!E:E,Sheet1!G:G,A160)</f>
        <v>2.0</v>
      </c>
      <c r="D160" s="5">
        <f>B160-B159</f>
        <v>-11.0</v>
      </c>
      <c r="E160" s="5">
        <f>IF(B159=0,0,(B160-B159)/B159)</f>
        <v>-0.12222222222222222</v>
      </c>
      <c r="F160" s="5" t="str">
        <f>IF(B160&gt;=1.5*B159,"YES","")</f>
        <v/>
      </c>
    </row>
    <row r="161" spans="8:8" ht="15.1">
      <c r="A161" s="6" t="s">
        <v>1121</v>
      </c>
      <c r="B161" s="5">
        <f>_xlfn.SUMIFS(Sheet1!D:D,Sheet1!G:G,A161)</f>
        <v>69.0</v>
      </c>
      <c r="C161" s="5">
        <f>_xlfn.SUMIFS(Sheet1!E:E,Sheet1!G:G,A161)</f>
        <v>1.0</v>
      </c>
      <c r="D161" s="5">
        <f>B161-B160</f>
        <v>-10.0</v>
      </c>
      <c r="E161" s="5">
        <f>IF(B160=0,0,(B161-B160)/B160)</f>
        <v>-0.12658227848101267</v>
      </c>
      <c r="F161" s="5" t="str">
        <f>IF(B161&gt;=1.5*B160,"YES","")</f>
        <v/>
      </c>
    </row>
    <row r="162" spans="8:8" ht="15.1">
      <c r="A162" s="6" t="s">
        <v>1128</v>
      </c>
      <c r="B162" s="5">
        <f>_xlfn.SUMIFS(Sheet1!D:D,Sheet1!G:G,A162)</f>
        <v>57.0</v>
      </c>
      <c r="C162" s="5">
        <f>_xlfn.SUMIFS(Sheet1!E:E,Sheet1!G:G,A162)</f>
        <v>0.0</v>
      </c>
      <c r="D162" s="5">
        <f>B162-B161</f>
        <v>-12.0</v>
      </c>
      <c r="E162" s="5">
        <f>IF(B161=0,0,(B162-B161)/B161)</f>
        <v>-0.17391304347826086</v>
      </c>
      <c r="F162" s="5" t="str">
        <f>IF(B162&gt;=1.5*B161,"YES","")</f>
        <v/>
      </c>
    </row>
    <row r="163" spans="8:8" ht="15.1">
      <c r="A163" s="6" t="s">
        <v>1135</v>
      </c>
      <c r="B163" s="5">
        <f>_xlfn.SUMIFS(Sheet1!D:D,Sheet1!G:G,A163)</f>
        <v>56.0</v>
      </c>
      <c r="C163" s="5">
        <f>_xlfn.SUMIFS(Sheet1!E:E,Sheet1!G:G,A163)</f>
        <v>0.0</v>
      </c>
      <c r="D163" s="5">
        <f>B163-B162</f>
        <v>-1.0</v>
      </c>
      <c r="E163" s="5">
        <f>IF(B162=0,0,(B163-B162)/B162)</f>
        <v>-0.017543859649122806</v>
      </c>
      <c r="F163" s="5" t="str">
        <f>IF(B163&gt;=1.5*B162,"YES","")</f>
        <v/>
      </c>
    </row>
    <row r="164" spans="8:8" ht="15.1">
      <c r="A164" s="6" t="s">
        <v>1142</v>
      </c>
      <c r="B164" s="5">
        <f>_xlfn.SUMIFS(Sheet1!D:D,Sheet1!G:G,A164)</f>
        <v>42.0</v>
      </c>
      <c r="C164" s="5">
        <f>_xlfn.SUMIFS(Sheet1!E:E,Sheet1!G:G,A164)</f>
        <v>0.0</v>
      </c>
      <c r="D164" s="5">
        <f>B164-B163</f>
        <v>-14.0</v>
      </c>
      <c r="E164" s="5">
        <f>IF(B163=0,0,(B164-B163)/B163)</f>
        <v>-0.25</v>
      </c>
      <c r="F164" s="5" t="str">
        <f>IF(B164&gt;=1.5*B163,"YES","")</f>
        <v/>
      </c>
    </row>
    <row r="165" spans="8:8" ht="15.1">
      <c r="A165" s="6" t="s">
        <v>1149</v>
      </c>
      <c r="B165" s="5">
        <f>_xlfn.SUMIFS(Sheet1!D:D,Sheet1!G:G,A165)</f>
        <v>0.0</v>
      </c>
      <c r="C165" s="5">
        <f>_xlfn.SUMIFS(Sheet1!E:E,Sheet1!G:G,A165)</f>
        <v>0.0</v>
      </c>
      <c r="D165" s="5">
        <f>B165-B164</f>
        <v>-42.0</v>
      </c>
      <c r="E165" s="5">
        <f>IF(B164=0,0,(B165-B164)/B164)</f>
        <v>-1.0</v>
      </c>
      <c r="F165" s="5" t="str">
        <f>IF(B165&gt;=1.5*B164,"YES","")</f>
        <v/>
      </c>
    </row>
    <row r="166" spans="8:8">
      <c r="A166" s="6"/>
    </row>
    <row r="167" spans="8:8">
      <c r="A167" s="6"/>
    </row>
    <row r="168" spans="8:8">
      <c r="A168" s="6"/>
    </row>
    <row r="169" spans="8:8">
      <c r="A169" s="6"/>
    </row>
    <row r="170" spans="8:8">
      <c r="A170" s="6"/>
    </row>
    <row r="171" spans="8:8">
      <c r="A171" s="6"/>
    </row>
    <row r="172" spans="8:8">
      <c r="A172" s="6"/>
    </row>
    <row r="173" spans="8:8">
      <c r="A173" s="6"/>
    </row>
    <row r="174" spans="8:8">
      <c r="A174" s="6"/>
    </row>
    <row r="175" spans="8:8">
      <c r="A175" s="6"/>
    </row>
    <row r="176" spans="8:8">
      <c r="A176" s="6"/>
    </row>
    <row r="177" spans="8:8">
      <c r="A177" s="6"/>
    </row>
    <row r="178" spans="8:8">
      <c r="A178" s="6"/>
    </row>
    <row r="179" spans="8:8">
      <c r="A179" s="6"/>
    </row>
    <row r="180" spans="8:8">
      <c r="A180" s="6"/>
    </row>
    <row r="181" spans="8:8">
      <c r="A181" s="6"/>
    </row>
    <row r="182" spans="8:8">
      <c r="A182" s="6"/>
    </row>
    <row r="183" spans="8:8">
      <c r="A183" s="6"/>
    </row>
    <row r="184" spans="8:8">
      <c r="A184" s="6"/>
    </row>
    <row r="185" spans="8:8">
      <c r="A185" s="6"/>
    </row>
    <row r="341" spans="8:8" ht="15.1"/>
    <row r="342" spans="8:8" ht="15.1"/>
    <row r="343" spans="8:8" ht="15.1"/>
    <row r="344" spans="8:8" ht="15.1"/>
    <row r="345" spans="8:8" ht="15.1"/>
    <row r="346" spans="8:8" ht="15.1"/>
    <row r="347" spans="8:8" ht="15.1"/>
    <row r="348" spans="8:8" ht="15.1"/>
    <row r="349" spans="8:8" ht="15.1"/>
    <row r="350" spans="8:8" ht="15.1"/>
    <row r="351" spans="8:8" ht="15.1"/>
    <row r="352" spans="8:8" ht="15.1"/>
    <row r="353" spans="8:8" ht="15.1"/>
    <row r="354" spans="8:8" ht="15.1"/>
    <row r="355" spans="8:8" ht="15.1"/>
    <row r="356" spans="8:8" ht="15.1"/>
    <row r="357" spans="8:8" ht="15.1"/>
    <row r="358" spans="8:8" ht="15.1"/>
    <row r="359" spans="8:8" ht="15.1"/>
    <row r="360" spans="8:8" ht="15.1"/>
    <row r="361" spans="8:8" ht="15.1"/>
    <row r="362" spans="8:8" ht="15.1"/>
    <row r="363" spans="8:8" ht="15.1"/>
    <row r="364" spans="8:8" ht="15.1"/>
    <row r="365" spans="8:8" ht="15.1"/>
    <row r="366" spans="8:8" ht="15.1"/>
    <row r="367" spans="8:8" ht="15.1"/>
    <row r="368" spans="8:8" ht="15.1"/>
    <row r="369" spans="8:8" ht="15.1"/>
    <row r="370" spans="8:8" ht="15.1"/>
    <row r="371" spans="8:8" ht="15.1"/>
    <row r="372" spans="8:8" ht="15.1"/>
    <row r="373" spans="8:8" ht="15.1"/>
    <row r="374" spans="8:8" ht="15.1"/>
    <row r="375" spans="8:8" ht="15.1"/>
    <row r="376" spans="8:8" ht="15.1"/>
    <row r="377" spans="8:8" ht="15.1"/>
    <row r="378" spans="8:8" ht="15.1"/>
    <row r="379" spans="8:8" ht="15.1"/>
    <row r="380" spans="8:8" ht="15.1"/>
    <row r="381" spans="8:8" ht="15.1"/>
    <row r="382" spans="8:8" ht="15.1"/>
    <row r="383" spans="8:8" ht="15.1"/>
    <row r="384" spans="8:8" ht="15.1"/>
    <row r="385" spans="8:8" ht="15.1"/>
    <row r="386" spans="8:8" ht="15.1"/>
    <row r="387" spans="8:8" ht="15.1"/>
    <row r="388" spans="8:8" ht="15.1"/>
    <row r="389" spans="8:8" ht="15.1"/>
    <row r="390" spans="8:8" ht="15.1"/>
    <row r="391" spans="8:8" ht="15.1"/>
    <row r="392" spans="8:8" ht="15.1"/>
    <row r="393" spans="8:8" ht="15.1"/>
    <row r="394" spans="8:8" ht="15.1"/>
    <row r="395" spans="8:8" ht="15.1"/>
    <row r="396" spans="8:8" ht="15.1"/>
    <row r="397" spans="8:8" ht="15.1"/>
    <row r="398" spans="8:8" ht="15.1"/>
    <row r="399" spans="8:8" ht="15.1"/>
    <row r="400" spans="8:8" ht="15.1"/>
    <row r="401" spans="8:8" ht="15.1"/>
    <row r="402" spans="8:8" ht="15.1"/>
    <row r="403" spans="8:8" ht="15.1"/>
    <row r="404" spans="8:8" ht="15.1"/>
    <row r="405" spans="8:8" ht="15.1"/>
    <row r="406" spans="8:8" ht="15.1"/>
    <row r="407" spans="8:8" ht="15.1"/>
    <row r="408" spans="8:8" ht="15.1"/>
    <row r="409" spans="8:8" ht="15.1"/>
    <row r="410" spans="8:8" ht="15.1"/>
    <row r="411" spans="8:8" ht="15.1"/>
    <row r="412" spans="8:8" ht="15.1"/>
    <row r="413" spans="8:8" ht="15.1"/>
    <row r="414" spans="8:8" ht="15.1"/>
    <row r="415" spans="8:8" ht="15.1"/>
    <row r="416" spans="8:8" ht="15.1"/>
    <row r="417" spans="8:8" ht="15.1"/>
    <row r="418" spans="8:8" ht="15.1"/>
    <row r="419" spans="8:8" ht="15.1"/>
    <row r="420" spans="8:8" ht="15.1"/>
    <row r="421" spans="8:8" ht="15.1"/>
    <row r="422" spans="8:8" ht="15.1"/>
    <row r="423" spans="8:8" ht="15.1"/>
    <row r="424" spans="8:8" ht="15.1"/>
    <row r="425" spans="8:8" ht="15.1"/>
    <row r="426" spans="8:8" ht="15.1"/>
    <row r="427" spans="8:8" ht="15.1"/>
    <row r="428" spans="8:8" ht="15.1"/>
    <row r="429" spans="8:8" ht="15.1"/>
    <row r="430" spans="8:8" ht="15.1"/>
    <row r="431" spans="8:8" ht="15.1"/>
    <row r="432" spans="8:8" ht="15.1"/>
    <row r="433" spans="8:8" ht="15.1"/>
    <row r="434" spans="8:8" ht="15.1"/>
    <row r="435" spans="8:8" ht="15.1"/>
    <row r="436" spans="8:8" ht="15.1"/>
    <row r="437" spans="8:8" ht="15.1"/>
    <row r="438" spans="8:8" ht="15.1"/>
    <row r="439" spans="8:8" ht="15.1"/>
    <row r="440" spans="8:8" ht="15.1"/>
    <row r="441" spans="8:8" ht="15.1"/>
    <row r="442" spans="8:8" ht="15.1"/>
    <row r="443" spans="8:8" ht="15.1"/>
    <row r="444" spans="8:8" ht="15.1"/>
    <row r="445" spans="8:8" ht="15.1"/>
    <row r="446" spans="8:8" ht="15.1"/>
    <row r="447" spans="8:8" ht="15.1"/>
    <row r="448" spans="8:8" ht="15.1"/>
    <row r="449" spans="8:8" ht="15.1"/>
    <row r="450" spans="8:8" ht="15.1"/>
    <row r="451" spans="8:8" ht="15.1"/>
    <row r="452" spans="8:8" ht="15.1"/>
    <row r="453" spans="8:8" ht="15.1"/>
    <row r="454" spans="8:8" ht="15.1"/>
    <row r="455" spans="8:8" ht="15.1"/>
    <row r="456" spans="8:8" ht="15.1"/>
    <row r="457" spans="8:8" ht="15.1"/>
    <row r="458" spans="8:8" ht="15.1"/>
    <row r="459" spans="8:8" ht="15.1"/>
    <row r="460" spans="8:8" ht="15.1"/>
    <row r="461" spans="8:8" ht="15.1"/>
    <row r="462" spans="8:8" ht="15.1"/>
    <row r="463" spans="8:8" ht="15.1"/>
    <row r="464" spans="8:8" ht="15.1"/>
    <row r="465" spans="8:8" ht="15.1"/>
    <row r="466" spans="8:8" ht="15.1"/>
    <row r="467" spans="8:8" ht="15.1"/>
    <row r="468" spans="8:8" ht="15.1"/>
    <row r="469" spans="8:8" ht="15.1"/>
    <row r="470" spans="8:8" ht="15.1"/>
    <row r="471" spans="8:8" ht="15.1"/>
    <row r="472" spans="8:8" ht="15.1"/>
    <row r="473" spans="8:8" ht="15.1"/>
    <row r="474" spans="8:8" ht="15.1"/>
    <row r="475" spans="8:8" ht="15.1"/>
    <row r="476" spans="8:8" ht="15.1"/>
    <row r="477" spans="8:8" ht="15.1"/>
    <row r="478" spans="8:8" ht="15.1"/>
    <row r="479" spans="8:8" ht="15.1"/>
    <row r="480" spans="8:8" ht="15.1"/>
    <row r="481" spans="8:8" ht="15.1"/>
    <row r="482" spans="8:8" ht="15.1"/>
    <row r="483" spans="8:8" ht="15.1"/>
    <row r="484" spans="8:8" ht="15.1"/>
    <row r="485" spans="8:8" ht="15.1"/>
    <row r="486" spans="8:8" ht="15.1"/>
    <row r="487" spans="8:8" ht="15.1"/>
    <row r="488" spans="8:8" ht="15.1"/>
    <row r="489" spans="8:8" ht="15.1"/>
    <row r="490" spans="8:8" ht="15.1"/>
    <row r="491" spans="8:8" ht="15.1"/>
    <row r="492" spans="8:8" ht="15.1"/>
    <row r="493" spans="8:8" ht="15.1"/>
    <row r="494" spans="8:8" ht="15.1"/>
    <row r="495" spans="8:8" ht="15.1"/>
    <row r="496" spans="8:8" ht="15.1"/>
    <row r="497" spans="8:8" ht="15.1"/>
    <row r="498" spans="8:8" ht="15.1"/>
    <row r="499" spans="8:8" ht="15.1"/>
    <row r="500" spans="8:8" ht="15.1"/>
    <row r="501" spans="8:8" ht="15.1"/>
    <row r="502" spans="8:8" ht="15.1"/>
    <row r="503" spans="8:8" ht="15.1"/>
    <row r="504" spans="8:8" ht="15.1"/>
    <row r="505" spans="8:8" ht="15.1"/>
    <row r="506" spans="8:8" ht="15.1"/>
    <row r="507" spans="8:8" ht="15.1"/>
    <row r="508" spans="8:8" ht="15.1"/>
    <row r="509" spans="8:8" ht="15.1"/>
    <row r="510" spans="8:8" ht="15.1"/>
    <row r="511" spans="8:8" ht="15.1"/>
    <row r="512" spans="8:8" ht="15.1"/>
    <row r="513" spans="8:8" ht="15.1"/>
    <row r="514" spans="8:8" ht="15.1"/>
    <row r="515" spans="8:8" ht="15.1"/>
    <row r="516" spans="8:8" ht="15.1"/>
    <row r="517" spans="8:8" ht="15.1"/>
    <row r="518" spans="8:8" ht="15.1"/>
    <row r="519" spans="8:8" ht="15.1"/>
    <row r="520" spans="8:8" ht="15.1"/>
    <row r="521" spans="8:8" ht="15.1"/>
    <row r="522" spans="8:8" ht="15.1"/>
    <row r="523" spans="8:8" ht="15.1"/>
    <row r="524" spans="8:8" ht="15.1"/>
    <row r="525" spans="8:8" ht="15.1"/>
    <row r="526" spans="8:8" ht="15.1"/>
    <row r="527" spans="8:8" ht="15.1"/>
    <row r="528" spans="8:8" ht="15.1"/>
    <row r="529" spans="8:8" ht="15.1"/>
    <row r="530" spans="8:8" ht="15.1"/>
    <row r="531" spans="8:8" ht="15.1"/>
    <row r="532" spans="8:8" ht="15.1"/>
    <row r="533" spans="8:8" ht="15.1"/>
    <row r="534" spans="8:8" ht="15.1"/>
    <row r="535" spans="8:8" ht="15.1"/>
    <row r="536" spans="8:8" ht="15.1"/>
    <row r="537" spans="8:8" ht="15.1"/>
    <row r="538" spans="8:8" ht="15.1"/>
    <row r="539" spans="8:8" ht="15.1"/>
    <row r="540" spans="8:8" ht="15.1"/>
    <row r="541" spans="8:8" ht="15.1"/>
    <row r="542" spans="8:8" ht="15.1"/>
    <row r="543" spans="8:8" ht="15.1"/>
    <row r="544" spans="8:8" ht="15.1"/>
    <row r="545" spans="8:8" ht="15.1"/>
    <row r="546" spans="8:8" ht="15.1"/>
    <row r="547" spans="8:8" ht="15.1"/>
    <row r="548" spans="8:8" ht="15.1"/>
    <row r="549" spans="8:8" ht="15.1"/>
    <row r="550" spans="8:8" ht="15.1"/>
    <row r="551" spans="8:8" ht="15.1"/>
    <row r="552" spans="8:8" ht="15.1"/>
    <row r="553" spans="8:8" ht="15.1"/>
    <row r="554" spans="8:8" ht="15.1"/>
    <row r="555" spans="8:8" ht="15.1"/>
    <row r="556" spans="8:8" ht="15.1"/>
    <row r="557" spans="8:8" ht="15.1"/>
    <row r="558" spans="8:8" ht="15.1"/>
    <row r="559" spans="8:8" ht="15.1"/>
    <row r="560" spans="8:8" ht="15.1"/>
    <row r="561" spans="8:8" ht="15.1"/>
    <row r="562" spans="8:8" ht="15.1"/>
    <row r="563" spans="8:8" ht="15.1"/>
    <row r="564" spans="8:8" ht="15.1"/>
    <row r="565" spans="8:8" ht="15.1"/>
    <row r="566" spans="8:8" ht="15.1"/>
    <row r="567" spans="8:8" ht="15.1"/>
    <row r="568" spans="8:8" ht="15.1"/>
    <row r="569" spans="8:8" ht="15.1"/>
    <row r="570" spans="8:8" ht="15.1"/>
    <row r="571" spans="8:8" ht="15.1"/>
    <row r="572" spans="8:8" ht="15.1"/>
    <row r="573" spans="8:8" ht="15.1"/>
    <row r="574" spans="8:8" ht="15.1"/>
    <row r="575" spans="8:8" ht="15.1"/>
    <row r="576" spans="8:8" ht="15.1"/>
    <row r="577" spans="8:8" ht="15.1"/>
    <row r="578" spans="8:8" ht="15.1"/>
    <row r="579" spans="8:8" ht="15.1"/>
    <row r="580" spans="8:8" ht="15.1"/>
    <row r="581" spans="8:8" ht="15.1"/>
    <row r="582" spans="8:8" ht="15.1"/>
    <row r="583" spans="8:8" ht="15.1"/>
    <row r="584" spans="8:8" ht="15.1"/>
    <row r="585" spans="8:8" ht="15.1"/>
    <row r="586" spans="8:8" ht="15.1"/>
    <row r="587" spans="8:8" ht="15.1"/>
    <row r="588" spans="8:8" ht="15.1"/>
    <row r="589" spans="8:8" ht="15.1"/>
    <row r="590" spans="8:8" ht="15.1"/>
    <row r="591" spans="8:8" ht="15.1"/>
    <row r="592" spans="8:8" ht="15.1"/>
    <row r="593" spans="8:8" ht="15.1"/>
    <row r="594" spans="8:8" ht="15.1"/>
    <row r="595" spans="8:8" ht="15.1"/>
    <row r="596" spans="8:8" ht="15.1"/>
    <row r="597" spans="8:8" ht="15.1"/>
    <row r="598" spans="8:8" ht="15.1"/>
    <row r="599" spans="8:8" ht="15.1"/>
    <row r="600" spans="8:8" ht="15.1"/>
    <row r="601" spans="8:8" ht="15.1"/>
    <row r="602" spans="8:8" ht="15.1"/>
    <row r="603" spans="8:8" ht="15.1"/>
    <row r="604" spans="8:8" ht="15.1"/>
    <row r="605" spans="8:8" ht="15.1"/>
    <row r="606" spans="8:8" ht="15.1"/>
    <row r="607" spans="8:8" ht="15.1"/>
    <row r="608" spans="8:8" ht="15.1"/>
    <row r="609" spans="8:8" ht="15.1"/>
    <row r="610" spans="8:8" ht="15.1"/>
    <row r="611" spans="8:8" ht="15.1"/>
    <row r="612" spans="8:8" ht="15.1"/>
    <row r="613" spans="8:8" ht="15.1"/>
    <row r="614" spans="8:8" ht="15.1"/>
    <row r="615" spans="8:8" ht="15.1"/>
    <row r="616" spans="8:8" ht="15.1"/>
    <row r="617" spans="8:8" ht="15.1"/>
    <row r="618" spans="8:8" ht="15.1"/>
    <row r="619" spans="8:8" ht="15.1"/>
    <row r="620" spans="8:8" ht="15.1"/>
    <row r="621" spans="8:8" ht="15.1"/>
    <row r="622" spans="8:8" ht="15.1"/>
    <row r="623" spans="8:8" ht="15.1"/>
    <row r="624" spans="8:8" ht="15.1"/>
    <row r="625" spans="8:8" ht="15.1"/>
    <row r="626" spans="8:8" ht="15.1"/>
    <row r="627" spans="8:8" ht="15.1"/>
    <row r="628" spans="8:8" ht="15.1"/>
    <row r="629" spans="8:8" ht="15.1"/>
    <row r="630" spans="8:8" ht="15.1"/>
    <row r="631" spans="8:8" ht="15.1"/>
    <row r="632" spans="8:8" ht="15.1"/>
    <row r="633" spans="8:8" ht="15.1"/>
    <row r="634" spans="8:8" ht="15.1"/>
    <row r="635" spans="8:8" ht="15.1"/>
    <row r="636" spans="8:8" ht="15.1"/>
    <row r="637" spans="8:8" ht="15.1"/>
    <row r="638" spans="8:8" ht="15.1"/>
    <row r="639" spans="8:8" ht="15.1"/>
    <row r="640" spans="8:8" ht="15.1"/>
    <row r="641" spans="8:8" ht="15.1"/>
    <row r="642" spans="8:8" ht="15.1"/>
    <row r="643" spans="8:8" ht="15.1"/>
    <row r="644" spans="8:8" ht="15.1"/>
    <row r="645" spans="8:8" ht="15.1"/>
    <row r="646" spans="8:8" ht="15.1"/>
    <row r="647" spans="8:8" ht="15.1"/>
    <row r="648" spans="8:8" ht="15.1"/>
    <row r="649" spans="8:8" ht="15.1"/>
    <row r="650" spans="8:8" ht="15.1"/>
    <row r="651" spans="8:8" ht="15.1"/>
    <row r="652" spans="8:8" ht="15.1"/>
    <row r="653" spans="8:8" ht="15.1"/>
    <row r="654" spans="8:8" ht="15.1"/>
    <row r="655" spans="8:8" ht="15.1"/>
    <row r="656" spans="8:8" ht="15.1"/>
    <row r="657" spans="8:8" ht="15.1"/>
    <row r="658" spans="8:8" ht="15.1"/>
    <row r="659" spans="8:8" ht="15.1"/>
    <row r="660" spans="8:8" ht="15.1"/>
    <row r="661" spans="8:8" ht="15.1"/>
    <row r="662" spans="8:8" ht="15.1"/>
    <row r="663" spans="8:8" ht="15.1"/>
    <row r="664" spans="8:8" ht="15.1"/>
    <row r="665" spans="8:8" ht="15.1"/>
    <row r="666" spans="8:8" ht="15.1"/>
    <row r="667" spans="8:8" ht="15.1"/>
    <row r="668" spans="8:8" ht="15.1"/>
    <row r="669" spans="8:8" ht="15.1"/>
    <row r="670" spans="8:8" ht="15.1"/>
    <row r="671" spans="8:8" ht="15.1"/>
    <row r="672" spans="8:8" ht="15.1"/>
    <row r="673" spans="8:8" ht="15.1"/>
    <row r="674" spans="8:8" ht="15.1"/>
    <row r="675" spans="8:8" ht="15.1"/>
    <row r="676" spans="8:8" ht="15.1"/>
    <row r="677" spans="8:8" ht="15.1"/>
    <row r="678" spans="8:8" ht="15.1"/>
    <row r="679" spans="8:8" ht="15.1"/>
    <row r="680" spans="8:8" ht="15.1"/>
    <row r="681" spans="8:8" ht="15.1"/>
    <row r="682" spans="8:8" ht="15.1"/>
    <row r="683" spans="8:8" ht="15.1"/>
    <row r="684" spans="8:8" ht="15.1"/>
    <row r="685" spans="8:8" ht="15.1"/>
    <row r="686" spans="8:8" ht="15.1"/>
    <row r="687" spans="8:8" ht="15.1"/>
    <row r="688" spans="8:8" ht="15.1"/>
    <row r="689" spans="8:8" ht="15.1"/>
    <row r="690" spans="8:8" ht="15.1"/>
    <row r="691" spans="8:8" ht="15.1"/>
    <row r="692" spans="8:8" ht="15.1"/>
    <row r="693" spans="8:8" ht="15.1"/>
    <row r="694" spans="8:8" ht="15.1"/>
    <row r="695" spans="8:8" ht="15.1"/>
    <row r="696" spans="8:8" ht="15.1"/>
    <row r="697" spans="8:8" ht="15.1"/>
    <row r="698" spans="8:8" ht="15.1"/>
    <row r="699" spans="8:8" ht="15.1"/>
    <row r="700" spans="8:8" ht="15.1"/>
    <row r="701" spans="8:8" ht="15.1"/>
    <row r="702" spans="8:8" ht="15.1"/>
    <row r="703" spans="8:8" ht="15.1"/>
    <row r="704" spans="8:8" ht="15.1"/>
    <row r="705" spans="8:8" ht="15.1"/>
    <row r="706" spans="8:8" ht="15.1"/>
    <row r="707" spans="8:8" ht="15.1"/>
    <row r="708" spans="8:8" ht="15.1"/>
    <row r="709" spans="8:8" ht="15.1"/>
    <row r="710" spans="8:8" ht="15.1"/>
    <row r="711" spans="8:8" ht="15.1"/>
    <row r="712" spans="8:8" ht="15.1"/>
    <row r="713" spans="8:8" ht="15.1"/>
    <row r="714" spans="8:8" ht="15.1"/>
    <row r="715" spans="8:8" ht="15.1"/>
    <row r="716" spans="8:8" ht="15.1"/>
    <row r="717" spans="8:8" ht="15.1"/>
    <row r="718" spans="8:8" ht="15.1"/>
    <row r="719" spans="8:8" ht="15.1"/>
    <row r="720" spans="8:8" ht="15.1"/>
    <row r="721" spans="8:8" ht="15.1"/>
    <row r="722" spans="8:8" ht="15.1"/>
    <row r="723" spans="8:8" ht="15.1"/>
    <row r="724" spans="8:8" ht="15.1"/>
    <row r="725" spans="8:8" ht="15.1"/>
    <row r="726" spans="8:8" ht="15.1"/>
    <row r="727" spans="8:8" ht="15.1"/>
    <row r="728" spans="8:8" ht="15.1"/>
    <row r="729" spans="8:8" ht="15.1"/>
    <row r="730" spans="8:8" ht="15.1"/>
    <row r="731" spans="8:8" ht="15.1"/>
    <row r="732" spans="8:8" ht="15.1"/>
    <row r="733" spans="8:8" ht="15.1"/>
    <row r="734" spans="8:8" ht="15.1"/>
    <row r="735" spans="8:8" ht="15.1"/>
    <row r="736" spans="8:8" ht="15.1"/>
    <row r="737" spans="8:8" ht="15.1"/>
    <row r="738" spans="8:8" ht="15.1"/>
    <row r="739" spans="8:8" ht="15.1"/>
    <row r="740" spans="8:8" ht="15.1"/>
    <row r="741" spans="8:8" ht="15.1"/>
    <row r="742" spans="8:8" ht="15.1"/>
    <row r="743" spans="8:8" ht="15.1"/>
    <row r="744" spans="8:8" ht="15.1"/>
    <row r="745" spans="8:8" ht="15.1"/>
    <row r="746" spans="8:8" ht="15.1"/>
    <row r="747" spans="8:8" ht="15.1"/>
    <row r="748" spans="8:8" ht="15.1"/>
    <row r="749" spans="8:8" ht="15.1"/>
    <row r="750" spans="8:8" ht="15.1"/>
    <row r="751" spans="8:8" ht="15.1"/>
    <row r="752" spans="8:8" ht="15.1"/>
    <row r="753" spans="8:8" ht="15.1"/>
    <row r="754" spans="8:8" ht="15.1"/>
    <row r="755" spans="8:8" ht="15.1"/>
    <row r="756" spans="8:8" ht="15.1"/>
    <row r="757" spans="8:8" ht="15.1"/>
    <row r="758" spans="8:8" ht="15.1"/>
    <row r="759" spans="8:8" ht="15.1"/>
    <row r="760" spans="8:8" ht="15.1"/>
    <row r="761" spans="8:8" ht="15.1"/>
    <row r="762" spans="8:8" ht="15.1"/>
    <row r="763" spans="8:8" ht="15.1"/>
    <row r="764" spans="8:8" ht="15.1"/>
    <row r="765" spans="8:8" ht="15.1"/>
    <row r="766" spans="8:8" ht="15.1"/>
    <row r="767" spans="8:8" ht="15.1"/>
    <row r="768" spans="8:8" ht="15.1"/>
    <row r="769" spans="8:8" ht="15.1"/>
    <row r="770" spans="8:8" ht="15.1"/>
    <row r="771" spans="8:8" ht="15.1"/>
    <row r="772" spans="8:8" ht="15.1"/>
    <row r="773" spans="8:8" ht="15.1"/>
    <row r="774" spans="8:8" ht="15.1"/>
    <row r="775" spans="8:8" ht="15.1"/>
    <row r="776" spans="8:8" ht="15.1"/>
    <row r="777" spans="8:8" ht="15.1"/>
    <row r="778" spans="8:8" ht="15.1"/>
    <row r="779" spans="8:8" ht="15.1"/>
    <row r="780" spans="8:8" ht="15.1"/>
    <row r="781" spans="8:8" ht="15.1"/>
    <row r="782" spans="8:8" ht="15.1"/>
    <row r="783" spans="8:8" ht="15.1"/>
    <row r="784" spans="8:8" ht="15.1"/>
    <row r="785" spans="8:8" ht="15.1"/>
    <row r="786" spans="8:8" ht="15.1"/>
    <row r="787" spans="8:8" ht="15.1"/>
    <row r="788" spans="8:8" ht="15.1"/>
    <row r="789" spans="8:8" ht="15.1"/>
    <row r="790" spans="8:8" ht="15.1"/>
    <row r="791" spans="8:8" ht="15.1"/>
    <row r="792" spans="8:8" ht="15.1"/>
    <row r="793" spans="8:8" ht="15.1"/>
    <row r="794" spans="8:8" ht="15.1"/>
    <row r="795" spans="8:8" ht="15.1"/>
    <row r="796" spans="8:8" ht="15.1"/>
    <row r="797" spans="8:8" ht="15.1"/>
    <row r="798" spans="8:8" ht="15.1"/>
    <row r="799" spans="8:8" ht="15.1"/>
    <row r="800" spans="8:8" ht="15.1"/>
    <row r="801" spans="8:8" ht="15.1"/>
    <row r="802" spans="8:8" ht="15.1"/>
    <row r="803" spans="8:8" ht="15.1"/>
    <row r="804" spans="8:8" ht="15.1"/>
    <row r="805" spans="8:8" ht="15.1"/>
    <row r="806" spans="8:8" ht="15.1"/>
    <row r="807" spans="8:8" ht="15.1"/>
    <row r="808" spans="8:8" ht="15.1"/>
    <row r="809" spans="8:8" ht="15.1"/>
    <row r="810" spans="8:8" ht="15.1"/>
    <row r="811" spans="8:8" ht="15.1"/>
    <row r="812" spans="8:8" ht="15.1"/>
    <row r="813" spans="8:8" ht="15.1"/>
    <row r="814" spans="8:8" ht="15.1"/>
    <row r="815" spans="8:8" ht="15.1"/>
    <row r="816" spans="8:8" ht="15.1"/>
    <row r="817" spans="8:8" ht="15.1"/>
    <row r="818" spans="8:8" ht="15.1"/>
    <row r="819" spans="8:8" ht="15.1"/>
    <row r="820" spans="8:8" ht="15.1"/>
    <row r="821" spans="8:8" ht="15.1"/>
    <row r="822" spans="8:8" ht="15.1"/>
    <row r="823" spans="8:8" ht="15.1"/>
    <row r="824" spans="8:8" ht="15.1"/>
    <row r="825" spans="8:8" ht="15.1"/>
    <row r="826" spans="8:8" ht="15.1"/>
    <row r="827" spans="8:8" ht="15.1"/>
    <row r="828" spans="8:8" ht="15.1"/>
    <row r="829" spans="8:8" ht="15.1"/>
    <row r="830" spans="8:8" ht="15.1"/>
    <row r="831" spans="8:8" ht="15.1"/>
    <row r="832" spans="8:8" ht="15.1"/>
    <row r="833" spans="8:8" ht="15.1"/>
    <row r="834" spans="8:8" ht="15.1"/>
    <row r="835" spans="8:8" ht="15.1"/>
    <row r="836" spans="8:8" ht="15.1"/>
    <row r="837" spans="8:8" ht="15.1"/>
    <row r="838" spans="8:8" ht="15.1"/>
    <row r="839" spans="8:8" ht="15.1"/>
    <row r="840" spans="8:8" ht="15.1"/>
    <row r="841" spans="8:8" ht="15.1"/>
    <row r="842" spans="8:8" ht="15.1"/>
    <row r="843" spans="8:8" ht="15.1"/>
    <row r="844" spans="8:8" ht="15.1"/>
    <row r="845" spans="8:8" ht="15.1"/>
    <row r="846" spans="8:8" ht="15.1"/>
    <row r="847" spans="8:8" ht="15.1"/>
    <row r="848" spans="8:8" ht="15.1"/>
    <row r="849" spans="8:8" ht="15.1"/>
    <row r="850" spans="8:8" ht="15.1"/>
    <row r="851" spans="8:8" ht="15.1"/>
    <row r="852" spans="8:8" ht="15.1"/>
    <row r="853" spans="8:8" ht="15.1"/>
    <row r="854" spans="8:8" ht="15.1"/>
    <row r="855" spans="8:8" ht="15.1"/>
    <row r="856" spans="8:8" ht="15.1"/>
    <row r="857" spans="8:8" ht="15.1"/>
    <row r="858" spans="8:8" ht="15.1"/>
    <row r="859" spans="8:8" ht="15.1"/>
    <row r="860" spans="8:8" ht="15.1"/>
    <row r="861" spans="8:8" ht="15.1"/>
    <row r="862" spans="8:8" ht="15.1"/>
    <row r="863" spans="8:8" ht="15.1"/>
    <row r="864" spans="8:8" ht="15.1"/>
    <row r="865" spans="8:8" ht="15.1"/>
    <row r="866" spans="8:8" ht="15.1"/>
    <row r="867" spans="8:8" ht="15.1"/>
    <row r="868" spans="8:8" ht="15.1"/>
    <row r="869" spans="8:8" ht="15.1"/>
    <row r="870" spans="8:8" ht="15.1"/>
    <row r="871" spans="8:8" ht="15.1"/>
    <row r="872" spans="8:8" ht="15.1"/>
    <row r="873" spans="8:8" ht="15.1"/>
    <row r="874" spans="8:8" ht="15.1"/>
    <row r="875" spans="8:8" ht="15.1"/>
    <row r="876" spans="8:8" ht="15.1"/>
    <row r="877" spans="8:8" ht="15.1"/>
    <row r="878" spans="8:8" ht="15.1"/>
    <row r="879" spans="8:8" ht="15.1"/>
    <row r="880" spans="8:8" ht="15.1"/>
    <row r="881" spans="8:8" ht="15.1"/>
    <row r="882" spans="8:8" ht="15.1"/>
    <row r="883" spans="8:8" ht="15.1"/>
    <row r="884" spans="8:8" ht="15.1"/>
    <row r="885" spans="8:8" ht="15.1"/>
    <row r="886" spans="8:8" ht="15.1"/>
    <row r="887" spans="8:8" ht="15.1"/>
    <row r="888" spans="8:8" ht="15.1"/>
    <row r="889" spans="8:8" ht="15.1"/>
    <row r="890" spans="8:8" ht="15.1"/>
    <row r="891" spans="8:8" ht="15.1"/>
    <row r="892" spans="8:8" ht="15.1"/>
    <row r="893" spans="8:8" ht="15.1"/>
    <row r="894" spans="8:8" ht="15.1"/>
    <row r="895" spans="8:8" ht="15.1"/>
    <row r="896" spans="8:8" ht="15.1"/>
    <row r="897" spans="8:8" ht="15.1"/>
    <row r="898" spans="8:8" ht="15.1"/>
    <row r="899" spans="8:8" ht="15.1"/>
    <row r="900" spans="8:8" ht="15.1"/>
    <row r="901" spans="8:8" ht="15.1"/>
    <row r="902" spans="8:8" ht="15.1"/>
    <row r="903" spans="8:8" ht="15.1"/>
    <row r="904" spans="8:8" ht="15.1"/>
    <row r="905" spans="8:8" ht="15.1"/>
    <row r="906" spans="8:8" ht="15.1"/>
    <row r="907" spans="8:8" ht="15.1"/>
    <row r="908" spans="8:8" ht="15.1"/>
    <row r="909" spans="8:8" ht="15.1"/>
    <row r="910" spans="8:8" ht="15.1"/>
    <row r="911" spans="8:8" ht="15.1"/>
    <row r="912" spans="8:8" ht="15.1"/>
    <row r="913" spans="8:8" ht="15.1"/>
    <row r="914" spans="8:8" ht="15.1"/>
    <row r="915" spans="8:8" ht="15.1"/>
    <row r="916" spans="8:8" ht="15.1"/>
    <row r="917" spans="8:8" ht="15.1"/>
    <row r="918" spans="8:8" ht="15.1"/>
    <row r="919" spans="8:8" ht="15.1"/>
    <row r="920" spans="8:8" ht="15.1"/>
    <row r="921" spans="8:8" ht="15.1"/>
    <row r="922" spans="8:8" ht="15.1"/>
    <row r="923" spans="8:8" ht="15.1"/>
    <row r="924" spans="8:8" ht="15.1"/>
    <row r="925" spans="8:8" ht="15.1"/>
    <row r="926" spans="8:8" ht="15.1"/>
    <row r="927" spans="8:8" ht="15.1"/>
    <row r="928" spans="8:8" ht="15.1"/>
    <row r="929" spans="8:8" ht="15.1"/>
    <row r="930" spans="8:8" ht="15.1"/>
    <row r="931" spans="8:8" ht="15.1"/>
    <row r="932" spans="8:8" ht="15.1"/>
    <row r="933" spans="8:8" ht="15.1"/>
    <row r="934" spans="8:8" ht="15.1"/>
    <row r="935" spans="8:8" ht="15.1"/>
    <row r="936" spans="8:8" ht="15.1"/>
    <row r="937" spans="8:8" ht="15.1"/>
    <row r="938" spans="8:8" ht="15.1"/>
    <row r="939" spans="8:8" ht="15.1"/>
    <row r="940" spans="8:8" ht="15.1"/>
    <row r="941" spans="8:8" ht="15.1"/>
    <row r="942" spans="8:8" ht="15.1"/>
    <row r="943" spans="8:8" ht="15.1"/>
    <row r="944" spans="8:8" ht="15.1"/>
    <row r="945" spans="8:8" ht="15.1"/>
    <row r="946" spans="8:8" ht="15.1"/>
    <row r="947" spans="8:8" ht="15.1"/>
    <row r="948" spans="8:8" ht="15.1"/>
    <row r="949" spans="8:8" ht="15.1"/>
    <row r="950" spans="8:8" ht="15.1"/>
    <row r="951" spans="8:8" ht="15.1"/>
    <row r="952" spans="8:8" ht="15.1"/>
    <row r="953" spans="8:8" ht="15.1"/>
    <row r="954" spans="8:8" ht="15.1"/>
    <row r="955" spans="8:8" ht="15.1"/>
    <row r="956" spans="8:8" ht="15.1"/>
    <row r="957" spans="8:8" ht="15.1"/>
    <row r="958" spans="8:8" ht="15.1"/>
    <row r="959" spans="8:8" ht="15.1"/>
    <row r="960" spans="8:8" ht="15.1"/>
    <row r="961" spans="8:8" ht="15.1"/>
    <row r="962" spans="8:8" ht="15.1"/>
    <row r="963" spans="8:8" ht="15.1"/>
    <row r="964" spans="8:8" ht="15.1"/>
    <row r="965" spans="8:8" ht="15.1"/>
    <row r="966" spans="8:8" ht="15.1"/>
    <row r="967" spans="8:8" ht="15.1"/>
    <row r="968" spans="8:8" ht="15.1"/>
    <row r="969" spans="8:8" ht="15.1"/>
    <row r="970" spans="8:8" ht="15.1"/>
    <row r="971" spans="8:8" ht="15.1"/>
    <row r="972" spans="8:8" ht="15.1"/>
    <row r="973" spans="8:8" ht="15.1"/>
    <row r="974" spans="8:8" ht="15.1"/>
    <row r="975" spans="8:8" ht="15.1"/>
    <row r="976" spans="8:8" ht="15.1"/>
    <row r="977" spans="8:8" ht="15.1"/>
    <row r="978" spans="8:8" ht="15.1"/>
    <row r="979" spans="8:8" ht="15.1"/>
    <row r="980" spans="8:8" ht="15.1"/>
    <row r="981" spans="8:8" ht="15.1"/>
    <row r="982" spans="8:8" ht="15.1"/>
    <row r="983" spans="8:8" ht="15.1"/>
    <row r="984" spans="8:8" ht="15.1"/>
    <row r="985" spans="8:8" ht="15.1"/>
    <row r="986" spans="8:8" ht="15.1"/>
    <row r="987" spans="8:8" ht="15.1"/>
    <row r="988" spans="8:8" ht="15.1"/>
    <row r="989" spans="8:8" ht="15.1"/>
    <row r="990" spans="8:8" ht="15.1"/>
    <row r="991" spans="8:8" ht="15.1"/>
    <row r="992" spans="8:8" ht="15.1"/>
    <row r="993" spans="8:8" ht="15.1"/>
    <row r="994" spans="8:8" ht="15.1"/>
    <row r="995" spans="8:8" ht="15.1"/>
    <row r="996" spans="8:8" ht="15.1"/>
    <row r="997" spans="8:8" ht="15.1"/>
    <row r="998" spans="8:8" ht="15.1"/>
    <row r="999" spans="8:8" ht="15.1"/>
    <row r="1000" spans="8:8" ht="15.1"/>
    <row r="1001" spans="8:8" ht="15.1"/>
    <row r="1002" spans="8:8" ht="15.1"/>
    <row r="1003" spans="8:8" ht="15.1"/>
    <row r="1004" spans="8:8" ht="15.1"/>
    <row r="1005" spans="8:8" ht="15.1"/>
    <row r="1006" spans="8:8" ht="15.1"/>
    <row r="1007" spans="8:8" ht="15.1"/>
    <row r="1008" spans="8:8" ht="15.1"/>
    <row r="1009" spans="8:8" ht="15.1"/>
    <row r="1010" spans="8:8" ht="15.1"/>
    <row r="1011" spans="8:8" ht="15.1"/>
    <row r="1012" spans="8:8" ht="15.1"/>
    <row r="1013" spans="8:8" ht="15.1"/>
    <row r="1014" spans="8:8" ht="15.1"/>
    <row r="1015" spans="8:8" ht="15.1"/>
    <row r="1016" spans="8:8" ht="15.1"/>
    <row r="1017" spans="8:8" ht="15.1"/>
    <row r="1018" spans="8:8" ht="15.1"/>
    <row r="1019" spans="8:8" ht="15.1"/>
    <row r="1020" spans="8:8" ht="15.1"/>
    <row r="1021" spans="8:8" ht="15.1"/>
    <row r="1022" spans="8:8" ht="15.1"/>
    <row r="1023" spans="8:8" ht="15.1"/>
    <row r="1024" spans="8:8" ht="15.1"/>
    <row r="1025" spans="8:8" ht="15.1"/>
    <row r="1026" spans="8:8" ht="15.1"/>
    <row r="1027" spans="8:8" ht="15.1"/>
    <row r="1028" spans="8:8" ht="15.1"/>
    <row r="1029" spans="8:8" ht="15.1"/>
    <row r="1030" spans="8:8" ht="15.1"/>
    <row r="1031" spans="8:8" ht="15.1"/>
    <row r="1032" spans="8:8" ht="15.1"/>
    <row r="1033" spans="8:8" ht="15.1"/>
    <row r="1034" spans="8:8" ht="15.1"/>
    <row r="1035" spans="8:8" ht="15.1"/>
    <row r="1036" spans="8:8" ht="15.1"/>
    <row r="1037" spans="8:8" ht="15.1"/>
    <row r="1038" spans="8:8" ht="15.1"/>
    <row r="1039" spans="8:8" ht="15.1"/>
    <row r="1040" spans="8:8" ht="15.1"/>
    <row r="1041" spans="8:8" ht="15.1"/>
    <row r="1042" spans="8:8" ht="15.1"/>
    <row r="1043" spans="8:8" ht="15.1"/>
    <row r="1044" spans="8:8" ht="15.1"/>
    <row r="1045" spans="8:8" ht="15.1"/>
    <row r="1046" spans="8:8" ht="15.1"/>
    <row r="1047" spans="8:8" ht="15.1"/>
    <row r="1048" spans="8:8" ht="15.1"/>
    <row r="1049" spans="8:8" ht="15.1"/>
    <row r="1050" spans="8:8" ht="15.1"/>
    <row r="1051" spans="8:8" ht="15.1"/>
    <row r="1052" spans="8:8" ht="15.1"/>
    <row r="1053" spans="8:8" ht="15.1"/>
    <row r="1054" spans="8:8" ht="15.1"/>
    <row r="1055" spans="8:8" ht="15.1"/>
    <row r="1056" spans="8:8" ht="15.1"/>
    <row r="1057" spans="8:8" ht="15.1"/>
    <row r="1058" spans="8:8" ht="15.1"/>
    <row r="1059" spans="8:8" ht="15.1"/>
    <row r="1060" spans="8:8" ht="15.1"/>
    <row r="1061" spans="8:8" ht="15.1"/>
    <row r="1062" spans="8:8" ht="15.1"/>
    <row r="1063" spans="8:8" ht="15.1"/>
    <row r="1064" spans="8:8" ht="15.1"/>
    <row r="1065" spans="8:8" ht="15.1"/>
    <row r="1066" spans="8:8" ht="15.1"/>
    <row r="1067" spans="8:8" ht="15.1"/>
    <row r="1068" spans="8:8" ht="15.1"/>
    <row r="1069" spans="8:8" ht="15.1"/>
    <row r="1070" spans="8:8" ht="15.1"/>
    <row r="1071" spans="8:8" ht="15.1"/>
    <row r="1072" spans="8:8" ht="15.1"/>
    <row r="1073" spans="8:8" ht="15.1"/>
    <row r="1074" spans="8:8" ht="15.1"/>
    <row r="1075" spans="8:8" ht="15.1"/>
    <row r="1076" spans="8:8" ht="15.1"/>
    <row r="1077" spans="8:8" ht="15.1"/>
    <row r="1078" spans="8:8" ht="15.1"/>
    <row r="1079" spans="8:8" ht="15.1"/>
    <row r="1080" spans="8:8" ht="15.1"/>
    <row r="1081" spans="8:8" ht="15.1"/>
    <row r="1082" spans="8:8" ht="15.1"/>
    <row r="1083" spans="8:8" ht="15.1"/>
    <row r="1084" spans="8:8" ht="15.1"/>
    <row r="1085" spans="8:8" ht="15.1"/>
    <row r="1086" spans="8:8" ht="15.1"/>
    <row r="1087" spans="8:8" ht="15.1"/>
    <row r="1088" spans="8:8" ht="15.1"/>
    <row r="1089" spans="8:8" ht="15.1"/>
    <row r="1090" spans="8:8" ht="15.1"/>
    <row r="1091" spans="8:8" ht="15.1"/>
    <row r="1092" spans="8:8" ht="15.1"/>
    <row r="1093" spans="8:8" ht="15.1"/>
    <row r="1094" spans="8:8" ht="15.1"/>
    <row r="1095" spans="8:8" ht="15.1"/>
    <row r="1096" spans="8:8" ht="15.1"/>
    <row r="1097" spans="8:8" ht="15.1"/>
    <row r="1098" spans="8:8" ht="15.1"/>
    <row r="1099" spans="8:8" ht="15.1"/>
    <row r="1100" spans="8:8" ht="15.1"/>
    <row r="1101" spans="8:8" ht="15.1"/>
    <row r="1102" spans="8:8" ht="15.1"/>
    <row r="1103" spans="8:8" ht="15.1"/>
    <row r="1104" spans="8:8" ht="15.1"/>
    <row r="1105" spans="8:8" ht="15.1"/>
    <row r="1106" spans="8:8" ht="15.1"/>
    <row r="1107" spans="8:8" ht="15.1"/>
    <row r="1108" spans="8:8" ht="15.1"/>
    <row r="1109" spans="8:8" ht="15.1"/>
    <row r="1110" spans="8:8" ht="15.1"/>
    <row r="1111" spans="8:8" ht="15.1"/>
    <row r="1112" spans="8:8" ht="15.1"/>
    <row r="1113" spans="8:8" ht="15.1"/>
    <row r="1114" spans="8:8" ht="15.1"/>
    <row r="1115" spans="8:8" ht="15.1"/>
    <row r="1116" spans="8:8" ht="15.1"/>
    <row r="1117" spans="8:8" ht="15.1"/>
    <row r="1118" spans="8:8" ht="15.1"/>
    <row r="1119" spans="8:8" ht="15.1"/>
    <row r="1120" spans="8:8" ht="15.1"/>
    <row r="1121" spans="8:8" ht="15.1"/>
    <row r="1122" spans="8:8" ht="15.1"/>
    <row r="1123" spans="8:8" ht="15.1"/>
    <row r="1124" spans="8:8" ht="15.1"/>
    <row r="1125" spans="8:8" ht="15.1"/>
    <row r="1126" spans="8:8" ht="15.1"/>
    <row r="1127" spans="8:8" ht="15.1"/>
    <row r="1128" spans="8:8" ht="15.1"/>
    <row r="1129" spans="8:8" ht="15.1"/>
    <row r="1130" spans="8:8" ht="15.1"/>
    <row r="1131" spans="8:8" ht="15.1"/>
    <row r="1132" spans="8:8" ht="15.1"/>
    <row r="1133" spans="8:8" ht="15.1"/>
    <row r="1134" spans="8:8" ht="15.1"/>
    <row r="1135" spans="8:8" ht="15.1"/>
    <row r="1136" spans="8:8" ht="15.1"/>
    <row r="1137" spans="8:8" ht="15.1"/>
    <row r="1138" spans="8:8" ht="15.1"/>
    <row r="1139" spans="8:8" ht="15.1"/>
    <row r="1140" spans="8:8" ht="15.1"/>
    <row r="1141" spans="8:8" ht="15.1"/>
    <row r="1142" spans="8:8" ht="15.1"/>
    <row r="1143" spans="8:8" ht="15.1"/>
  </sheetData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RMX3268</dc:creator>
  <dcterms:created xsi:type="dcterms:W3CDTF">2026-02-08T23:10:20Z</dcterms:created>
  <dcterms:modified xsi:type="dcterms:W3CDTF">2026-02-10T14:25:55Z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c6e42ce86cd64e25a4dfffd52077ef4b</vt:lpwstr>
  </property>
</Properties>
</file>